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E62155A-E81B-4D0B-9543-8227E1A03A79}" xr6:coauthVersionLast="47" xr6:coauthVersionMax="47" xr10:uidLastSave="{00000000-0000-0000-0000-000000000000}"/>
  <bookViews>
    <workbookView xWindow="-120" yWindow="-120" windowWidth="20730" windowHeight="11160" xr2:uid="{B3F05806-26C0-4142-A16C-907B0FDB09DF}"/>
  </bookViews>
  <sheets>
    <sheet name="Ques1." sheetId="4" r:id="rId1"/>
    <sheet name="Ques2" sheetId="2" r:id="rId2"/>
    <sheet name="Ques3" sheetId="5" r:id="rId3"/>
    <sheet name="Ques4" sheetId="6" r:id="rId4"/>
    <sheet name="Ques 5" sheetId="1" r:id="rId5"/>
    <sheet name="Ques6" sheetId="3" r:id="rId6"/>
    <sheet name="Ques7" sheetId="7" r:id="rId7"/>
    <sheet name="Ques.8" sheetId="9" r:id="rId8"/>
  </sheets>
  <externalReferences>
    <externalReference r:id="rId9"/>
  </externalReferences>
  <definedNames>
    <definedName name="_xlnm._FilterDatabase" localSheetId="4" hidden="1">'Ques 5'!$A$2:$J$52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9" l="1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K4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I5" i="5"/>
  <c r="I4" i="1"/>
  <c r="I3" i="6"/>
  <c r="I3" i="1"/>
  <c r="I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</calcChain>
</file>

<file path=xl/sharedStrings.xml><?xml version="1.0" encoding="utf-8"?>
<sst xmlns="http://schemas.openxmlformats.org/spreadsheetml/2006/main" count="955" uniqueCount="127">
  <si>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</si>
  <si>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</si>
  <si>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</si>
  <si>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</si>
  <si>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</si>
  <si>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</si>
  <si>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</si>
  <si>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</si>
  <si>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</si>
  <si>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</si>
  <si>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</si>
  <si>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</si>
  <si>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</si>
  <si>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</si>
  <si>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</si>
  <si>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</si>
  <si>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</si>
  <si>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</si>
  <si>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</si>
  <si>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</si>
  <si>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</si>
  <si>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</si>
  <si>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</si>
  <si>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</si>
  <si>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</si>
  <si>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</si>
  <si>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</si>
  <si>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</si>
  <si>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</si>
  <si>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</si>
  <si>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</si>
  <si>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</si>
  <si>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</si>
  <si>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</si>
  <si>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</si>
  <si>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</si>
  <si>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</si>
  <si>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</si>
  <si>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</si>
  <si>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</si>
  <si>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</si>
  <si>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</si>
  <si>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</si>
  <si>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</si>
  <si>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</si>
  <si>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</si>
  <si>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</si>
  <si>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</si>
  <si>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</si>
  <si>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</si>
  <si>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</si>
  <si>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</si>
  <si>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</si>
  <si>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</si>
  <si>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</si>
  <si>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</si>
  <si>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</si>
  <si>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</si>
  <si>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</si>
  <si>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</si>
  <si>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</si>
  <si>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</si>
  <si>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</si>
  <si>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</si>
  <si>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</si>
  <si>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</si>
  <si>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</si>
  <si>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</si>
  <si>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</si>
  <si>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</si>
  <si>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</si>
  <si>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</si>
  <si>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</si>
  <si>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</si>
  <si>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</si>
  <si>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</si>
  <si>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</si>
  <si>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</si>
  <si>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</si>
  <si>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</si>
  <si>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</si>
  <si>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</si>
  <si>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</si>
  <si>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</si>
  <si>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</si>
  <si>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</si>
  <si>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</si>
  <si>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</si>
  <si>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</si>
  <si>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</si>
  <si>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</si>
  <si>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</si>
  <si>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Sales</t>
  </si>
  <si>
    <t>Q.4 How many customer are recorded?</t>
  </si>
  <si>
    <t>Vehicles</t>
  </si>
  <si>
    <t>Price</t>
  </si>
  <si>
    <t xml:space="preserve">       Car</t>
  </si>
  <si>
    <t xml:space="preserve">    Bicycle</t>
  </si>
  <si>
    <t>Auto-Rickshaw</t>
  </si>
  <si>
    <t>Formula</t>
  </si>
  <si>
    <t>ASSIGNMENT:  BASICS  OF  EXCEL</t>
  </si>
  <si>
    <t>Q1. Explain the difference between Relative , Absolute and Mixed Cell Referencing.</t>
  </si>
  <si>
    <t>Sol.</t>
  </si>
  <si>
    <t>1. Relative cell Reference</t>
  </si>
  <si>
    <t>* A relative cell reference in Excel is a type of cell reference that changes when the formula is copied to another cell</t>
  </si>
  <si>
    <t xml:space="preserve"> It adjust according to the relative position of row and column.</t>
  </si>
  <si>
    <t>Example.</t>
  </si>
  <si>
    <t>The relative reference G4 means G column and 4th row in a worksheet. If you write the</t>
  </si>
  <si>
    <t>formula =G4 to the H2 cell and copy this formula to the consecutive cell H3 cell, the relative reference will</t>
  </si>
  <si>
    <t>automatically be changed to the =G5 in the next cell.</t>
  </si>
  <si>
    <t xml:space="preserve">2. Absolute Cell Reference </t>
  </si>
  <si>
    <t>3. Mixed Cell Reference</t>
  </si>
  <si>
    <t xml:space="preserve">                          QUESTION WITH THEIR SOLUTION</t>
  </si>
  <si>
    <t>Q-2 Write a formula to calculate the total price of Car and Bicycle only .</t>
  </si>
  <si>
    <t>Total Price of Car &amp; Bicycle</t>
  </si>
  <si>
    <t>Formula- =E4*F4</t>
  </si>
  <si>
    <t>Q.5 Calculate the Total Sales for each row using a formula.</t>
  </si>
  <si>
    <t>Q.3 Using the data below, write a formula to calculate the average sales of items priced above 100 but less than
300:</t>
  </si>
  <si>
    <t>Item</t>
  </si>
  <si>
    <t>Sales</t>
  </si>
  <si>
    <t>Item1</t>
  </si>
  <si>
    <t>Item2</t>
  </si>
  <si>
    <t>Item3</t>
  </si>
  <si>
    <t>Solution-</t>
  </si>
  <si>
    <t>Q.6 Calculate the total sales of Notebooks in the North region only</t>
  </si>
  <si>
    <t>Q.7 Create a column chart showing total sales by product.</t>
  </si>
  <si>
    <t>Q.8 Create a column chart showing total sales by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</si>
</sst>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onsolas"/>
      <family val="3"/>
    </font>
    <font>
      <sz val="22"/>
      <color theme="1"/>
      <name val="Aptos Narrow"/>
      <family val="2"/>
      <scheme val="minor"/>
    </font>
    <font>
      <sz val="16"/>
      <color rgb="FF00B0F0"/>
      <name val="Calibri"/>
      <family val="2"/>
    </font>
    <font>
      <sz val="16"/>
      <color rgb="FF0070C0"/>
      <name val="Calibri"/>
      <family val="2"/>
    </font>
    <font>
      <sz val="11"/>
      <color rgb="FF000000"/>
      <name val="Calibri"/>
      <family val="2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Aptos Narrow"/>
      <family val="2"/>
    </font>
    <font>
      <sz val="12"/>
      <color rgb="FF000000"/>
      <name val="Calibri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3" fillId="0" borderId="0" xfId="0" applyFont="1"/>
    <xf numFmtId="0" fontId="0" fillId="3" borderId="0" xfId="0" applyFill="1"/>
    <xf numFmtId="0" fontId="0" fillId="4" borderId="2" xfId="0" applyFill="1" applyBorder="1"/>
    <xf numFmtId="0" fontId="0" fillId="5" borderId="2" xfId="0" applyFill="1" applyBorder="1"/>
    <xf numFmtId="0" fontId="1" fillId="7" borderId="1" xfId="0" applyFont="1" applyFill="1" applyBorder="1" applyAlignment="1">
      <alignment wrapText="1"/>
    </xf>
    <xf numFmtId="0" fontId="4" fillId="6" borderId="0" xfId="0" applyFont="1" applyFill="1"/>
    <xf numFmtId="0" fontId="5" fillId="8" borderId="2" xfId="0" applyFont="1" applyFill="1" applyBorder="1"/>
    <xf numFmtId="0" fontId="6" fillId="9" borderId="2" xfId="0" applyFont="1" applyFill="1" applyBorder="1"/>
    <xf numFmtId="0" fontId="7" fillId="0" borderId="2" xfId="0" applyFont="1" applyBorder="1"/>
    <xf numFmtId="0" fontId="8" fillId="3" borderId="0" xfId="0" applyFont="1" applyFill="1"/>
    <xf numFmtId="0" fontId="1" fillId="7" borderId="3" xfId="0" applyFont="1" applyFill="1" applyBorder="1" applyAlignment="1">
      <alignment wrapText="1"/>
    </xf>
    <xf numFmtId="0" fontId="10" fillId="10" borderId="0" xfId="0" applyFont="1" applyFill="1"/>
    <xf numFmtId="0" fontId="0" fillId="10" borderId="0" xfId="0" applyFill="1"/>
    <xf numFmtId="0" fontId="9" fillId="10" borderId="0" xfId="0" applyFont="1" applyFill="1"/>
    <xf numFmtId="0" fontId="12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justify" wrapText="1"/>
    </xf>
    <xf numFmtId="0" fontId="11" fillId="0" borderId="0" xfId="0" applyFont="1" applyAlignment="1">
      <alignment horizontal="center" vertical="justify" wrapText="1"/>
    </xf>
    <xf numFmtId="0" fontId="11" fillId="5" borderId="0" xfId="0" applyFont="1" applyFill="1"/>
    <xf numFmtId="0" fontId="5" fillId="11" borderId="2" xfId="0" applyFont="1" applyFill="1" applyBorder="1"/>
    <xf numFmtId="0" fontId="6" fillId="11" borderId="2" xfId="0" applyFont="1" applyFill="1" applyBorder="1"/>
    <xf numFmtId="0" fontId="7" fillId="4" borderId="2" xfId="0" applyFont="1" applyFill="1" applyBorder="1"/>
    <xf numFmtId="0" fontId="0" fillId="4" borderId="0" xfId="0" applyFill="1"/>
    <xf numFmtId="0" fontId="0" fillId="0" borderId="2" xfId="0" applyBorder="1"/>
    <xf numFmtId="0" fontId="0" fillId="12" borderId="0" xfId="0" applyFill="1"/>
    <xf numFmtId="0" fontId="0" fillId="3" borderId="0" xfId="0" applyFill="1" applyAlignment="1">
      <alignment wrapText="1"/>
    </xf>
    <xf numFmtId="0" fontId="4" fillId="3" borderId="0" xfId="0" applyFont="1" applyFill="1"/>
    <xf numFmtId="0" fontId="0" fillId="2" borderId="0" xfId="0" applyFill="1"/>
    <xf numFmtId="1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0" fillId="5" borderId="4" xfId="0" applyFill="1" applyBorder="1" applyAlignment="1">
      <alignment vertical="center"/>
    </xf>
    <xf numFmtId="0" fontId="1" fillId="2" borderId="2" xfId="0" applyFont="1" applyFill="1" applyBorder="1" applyAlignment="1">
      <alignment wrapText="1"/>
    </xf>
    <xf numFmtId="0" fontId="0" fillId="2" borderId="2" xfId="0" applyFill="1" applyBorder="1"/>
    <xf numFmtId="0" fontId="1" fillId="4" borderId="2" xfId="0" applyFont="1" applyFill="1" applyBorder="1" applyAlignment="1">
      <alignment wrapText="1"/>
    </xf>
    <xf numFmtId="0" fontId="14" fillId="10" borderId="0" xfId="0" applyFont="1" applyFill="1"/>
    <xf numFmtId="0" fontId="1" fillId="13" borderId="3" xfId="0" applyFont="1" applyFill="1" applyBorder="1" applyAlignment="1">
      <alignment wrapText="1"/>
    </xf>
    <xf numFmtId="0" fontId="1" fillId="13" borderId="2" xfId="0" applyFont="1" applyFill="1" applyBorder="1" applyAlignment="1">
      <alignment vertical="center" wrapText="1"/>
    </xf>
    <xf numFmtId="0" fontId="8" fillId="13" borderId="0" xfId="0" applyFont="1" applyFill="1"/>
    <xf numFmtId="0" fontId="0" fillId="13" borderId="0" xfId="0" applyFill="1"/>
    <xf numFmtId="0" fontId="2" fillId="12" borderId="3" xfId="0" applyFont="1" applyFill="1" applyBorder="1" applyAlignment="1">
      <alignment horizontal="right" wrapText="1"/>
    </xf>
    <xf numFmtId="0" fontId="2" fillId="12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right" vertical="center" wrapText="1"/>
    </xf>
    <xf numFmtId="14" fontId="2" fillId="12" borderId="2" xfId="0" applyNumberFormat="1" applyFont="1" applyFill="1" applyBorder="1" applyAlignment="1">
      <alignment horizontal="right" vertical="center" wrapText="1"/>
    </xf>
    <xf numFmtId="0" fontId="0" fillId="12" borderId="2" xfId="0" applyFill="1" applyBorder="1" applyAlignment="1">
      <alignment vertical="center"/>
    </xf>
    <xf numFmtId="0" fontId="15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[1]Sheet1!$H$3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[1]Sheet1!$D$4:$D$53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[1]Sheet1!$H$4:$H$53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4-4487-8CDE-155944928A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5852480"/>
        <c:axId val="16558649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[1]Sheet1!$D$4:$D$53</c15:sqref>
                        </c15:formulaRef>
                      </c:ext>
                    </c:extLst>
                    <c:strCache>
                      <c:ptCount val="50"/>
                      <c:pt idx="0">
                        <c:v>Notebook</c:v>
                      </c:pt>
                      <c:pt idx="1">
                        <c:v>Pen</c:v>
                      </c:pt>
                      <c:pt idx="2">
                        <c:v>Marker</c:v>
                      </c:pt>
                      <c:pt idx="3">
                        <c:v>Notebook</c:v>
                      </c:pt>
                      <c:pt idx="4">
                        <c:v>Pencil</c:v>
                      </c:pt>
                      <c:pt idx="5">
                        <c:v>Notebook</c:v>
                      </c:pt>
                      <c:pt idx="6">
                        <c:v>Eraser</c:v>
                      </c:pt>
                      <c:pt idx="7">
                        <c:v>Pen</c:v>
                      </c:pt>
                      <c:pt idx="8">
                        <c:v>Marker</c:v>
                      </c:pt>
                      <c:pt idx="9">
                        <c:v>Notebook</c:v>
                      </c:pt>
                      <c:pt idx="10">
                        <c:v>Pencil</c:v>
                      </c:pt>
                      <c:pt idx="11">
                        <c:v>Eraser</c:v>
                      </c:pt>
                      <c:pt idx="12">
                        <c:v>Notebook</c:v>
                      </c:pt>
                      <c:pt idx="13">
                        <c:v>Pen</c:v>
                      </c:pt>
                      <c:pt idx="14">
                        <c:v>Marker</c:v>
                      </c:pt>
                      <c:pt idx="15">
                        <c:v>Pencil</c:v>
                      </c:pt>
                      <c:pt idx="16">
                        <c:v>Eraser</c:v>
                      </c:pt>
                      <c:pt idx="17">
                        <c:v>Notebook</c:v>
                      </c:pt>
                      <c:pt idx="18">
                        <c:v>Pen</c:v>
                      </c:pt>
                      <c:pt idx="19">
                        <c:v>Marker</c:v>
                      </c:pt>
                      <c:pt idx="20">
                        <c:v>Notebook</c:v>
                      </c:pt>
                      <c:pt idx="21">
                        <c:v>Pencil</c:v>
                      </c:pt>
                      <c:pt idx="22">
                        <c:v>Eraser</c:v>
                      </c:pt>
                      <c:pt idx="23">
                        <c:v>Notebook</c:v>
                      </c:pt>
                      <c:pt idx="24">
                        <c:v>Pen</c:v>
                      </c:pt>
                      <c:pt idx="25">
                        <c:v>Marker</c:v>
                      </c:pt>
                      <c:pt idx="26">
                        <c:v>Pencil</c:v>
                      </c:pt>
                      <c:pt idx="27">
                        <c:v>Eraser</c:v>
                      </c:pt>
                      <c:pt idx="28">
                        <c:v>Notebook</c:v>
                      </c:pt>
                      <c:pt idx="29">
                        <c:v>Pen</c:v>
                      </c:pt>
                      <c:pt idx="30">
                        <c:v>Marker</c:v>
                      </c:pt>
                      <c:pt idx="31">
                        <c:v>Pencil</c:v>
                      </c:pt>
                      <c:pt idx="32">
                        <c:v>Eraser</c:v>
                      </c:pt>
                      <c:pt idx="33">
                        <c:v>Notebook</c:v>
                      </c:pt>
                      <c:pt idx="34">
                        <c:v>Pen</c:v>
                      </c:pt>
                      <c:pt idx="35">
                        <c:v>Marker</c:v>
                      </c:pt>
                      <c:pt idx="36">
                        <c:v>Pencil</c:v>
                      </c:pt>
                      <c:pt idx="37">
                        <c:v>Eraser</c:v>
                      </c:pt>
                      <c:pt idx="38">
                        <c:v>Notebook</c:v>
                      </c:pt>
                      <c:pt idx="39">
                        <c:v>Pen</c:v>
                      </c:pt>
                      <c:pt idx="40">
                        <c:v>Marker</c:v>
                      </c:pt>
                      <c:pt idx="41">
                        <c:v>Pencil</c:v>
                      </c:pt>
                      <c:pt idx="42">
                        <c:v>Eraser</c:v>
                      </c:pt>
                      <c:pt idx="43">
                        <c:v>Notebook</c:v>
                      </c:pt>
                      <c:pt idx="44">
                        <c:v>Pen</c:v>
                      </c:pt>
                      <c:pt idx="45">
                        <c:v>Marker</c:v>
                      </c:pt>
                      <c:pt idx="46">
                        <c:v>Pencil</c:v>
                      </c:pt>
                      <c:pt idx="47">
                        <c:v>Eraser</c:v>
                      </c:pt>
                      <c:pt idx="48">
                        <c:v>Notebook</c:v>
                      </c:pt>
                      <c:pt idx="49">
                        <c:v>Pen</c:v>
                      </c:pt>
                    </c:strCache>
                  </c:strRef>
                </c:tx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[1]Sheet1!$D$4:$D$53</c15:sqref>
                        </c15:formulaRef>
                      </c:ext>
                    </c:extLst>
                    <c:strCache>
                      <c:ptCount val="50"/>
                      <c:pt idx="0">
                        <c:v>Notebook</c:v>
                      </c:pt>
                      <c:pt idx="1">
                        <c:v>Pen</c:v>
                      </c:pt>
                      <c:pt idx="2">
                        <c:v>Marker</c:v>
                      </c:pt>
                      <c:pt idx="3">
                        <c:v>Notebook</c:v>
                      </c:pt>
                      <c:pt idx="4">
                        <c:v>Pencil</c:v>
                      </c:pt>
                      <c:pt idx="5">
                        <c:v>Notebook</c:v>
                      </c:pt>
                      <c:pt idx="6">
                        <c:v>Eraser</c:v>
                      </c:pt>
                      <c:pt idx="7">
                        <c:v>Pen</c:v>
                      </c:pt>
                      <c:pt idx="8">
                        <c:v>Marker</c:v>
                      </c:pt>
                      <c:pt idx="9">
                        <c:v>Notebook</c:v>
                      </c:pt>
                      <c:pt idx="10">
                        <c:v>Pencil</c:v>
                      </c:pt>
                      <c:pt idx="11">
                        <c:v>Eraser</c:v>
                      </c:pt>
                      <c:pt idx="12">
                        <c:v>Notebook</c:v>
                      </c:pt>
                      <c:pt idx="13">
                        <c:v>Pen</c:v>
                      </c:pt>
                      <c:pt idx="14">
                        <c:v>Marker</c:v>
                      </c:pt>
                      <c:pt idx="15">
                        <c:v>Pencil</c:v>
                      </c:pt>
                      <c:pt idx="16">
                        <c:v>Eraser</c:v>
                      </c:pt>
                      <c:pt idx="17">
                        <c:v>Notebook</c:v>
                      </c:pt>
                      <c:pt idx="18">
                        <c:v>Pen</c:v>
                      </c:pt>
                      <c:pt idx="19">
                        <c:v>Marker</c:v>
                      </c:pt>
                      <c:pt idx="20">
                        <c:v>Notebook</c:v>
                      </c:pt>
                      <c:pt idx="21">
                        <c:v>Pencil</c:v>
                      </c:pt>
                      <c:pt idx="22">
                        <c:v>Eraser</c:v>
                      </c:pt>
                      <c:pt idx="23">
                        <c:v>Notebook</c:v>
                      </c:pt>
                      <c:pt idx="24">
                        <c:v>Pen</c:v>
                      </c:pt>
                      <c:pt idx="25">
                        <c:v>Marker</c:v>
                      </c:pt>
                      <c:pt idx="26">
                        <c:v>Pencil</c:v>
                      </c:pt>
                      <c:pt idx="27">
                        <c:v>Eraser</c:v>
                      </c:pt>
                      <c:pt idx="28">
                        <c:v>Notebook</c:v>
                      </c:pt>
                      <c:pt idx="29">
                        <c:v>Pen</c:v>
                      </c:pt>
                      <c:pt idx="30">
                        <c:v>Marker</c:v>
                      </c:pt>
                      <c:pt idx="31">
                        <c:v>Pencil</c:v>
                      </c:pt>
                      <c:pt idx="32">
                        <c:v>Eraser</c:v>
                      </c:pt>
                      <c:pt idx="33">
                        <c:v>Notebook</c:v>
                      </c:pt>
                      <c:pt idx="34">
                        <c:v>Pen</c:v>
                      </c:pt>
                      <c:pt idx="35">
                        <c:v>Marker</c:v>
                      </c:pt>
                      <c:pt idx="36">
                        <c:v>Pencil</c:v>
                      </c:pt>
                      <c:pt idx="37">
                        <c:v>Eraser</c:v>
                      </c:pt>
                      <c:pt idx="38">
                        <c:v>Notebook</c:v>
                      </c:pt>
                      <c:pt idx="39">
                        <c:v>Pen</c:v>
                      </c:pt>
                      <c:pt idx="40">
                        <c:v>Marker</c:v>
                      </c:pt>
                      <c:pt idx="41">
                        <c:v>Pencil</c:v>
                      </c:pt>
                      <c:pt idx="42">
                        <c:v>Eraser</c:v>
                      </c:pt>
                      <c:pt idx="43">
                        <c:v>Notebook</c:v>
                      </c:pt>
                      <c:pt idx="44">
                        <c:v>Pen</c:v>
                      </c:pt>
                      <c:pt idx="45">
                        <c:v>Marker</c:v>
                      </c:pt>
                      <c:pt idx="46">
                        <c:v>Pencil</c:v>
                      </c:pt>
                      <c:pt idx="47">
                        <c:v>Eraser</c:v>
                      </c:pt>
                      <c:pt idx="48">
                        <c:v>Notebook</c:v>
                      </c:pt>
                      <c:pt idx="49">
                        <c:v>Pen</c:v>
                      </c:pt>
                    </c:strCache>
                  </c: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4464-4487-8CDE-155944928A12}"/>
                  </c:ext>
                </c:extLst>
              </c15:ser>
            </c15:filteredBarSeries>
          </c:ext>
        </c:extLst>
      </c:barChart>
      <c:catAx>
        <c:axId val="16558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64960"/>
        <c:crosses val="autoZero"/>
        <c:auto val="1"/>
        <c:lblAlgn val="ctr"/>
        <c:lblOffset val="100"/>
        <c:noMultiLvlLbl val="0"/>
      </c:catAx>
      <c:valAx>
        <c:axId val="1655864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58524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583069558165691E-2"/>
          <c:y val="7.0301526234105668E-2"/>
          <c:w val="0.91854223140140268"/>
          <c:h val="0.45792392724623948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[1]Sheet1!$G$4:$G$53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[1]Sheet1!$H$4:$H$53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1-413A-95EA-367832582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9900656"/>
        <c:axId val="1739898256"/>
      </c:lineChart>
      <c:catAx>
        <c:axId val="173990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898256"/>
        <c:crosses val="autoZero"/>
        <c:auto val="1"/>
        <c:lblAlgn val="ctr"/>
        <c:lblOffset val="100"/>
        <c:noMultiLvlLbl val="0"/>
      </c:catAx>
      <c:valAx>
        <c:axId val="17398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0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20052</xdr:rowOff>
    </xdr:from>
    <xdr:ext cx="6737684" cy="12753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66704D-047B-DE56-7298-2770B4CDE894}"/>
            </a:ext>
          </a:extLst>
        </xdr:cNvPr>
        <xdr:cNvSpPr txBox="1"/>
      </xdr:nvSpPr>
      <xdr:spPr>
        <a:xfrm>
          <a:off x="0" y="3088105"/>
          <a:ext cx="6737684" cy="1275347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numCol="2" spcCol="18288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 absolute reference 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cell reference in which the row and column are made constant by adding the dollar ($) sign before the column name and row number. The absolute reference does not change as you copy the formula from one .</a:t>
          </a:r>
        </a:p>
        <a:p>
          <a:endParaRPr lang="en-US" sz="1100"/>
        </a:p>
        <a:p>
          <a:endParaRPr lang="en-US" sz="1100"/>
        </a:p>
      </xdr:txBody>
    </xdr:sp>
    <xdr:clientData/>
  </xdr:oneCellAnchor>
  <xdr:oneCellAnchor>
    <xdr:from>
      <xdr:col>0</xdr:col>
      <xdr:colOff>0</xdr:colOff>
      <xdr:row>24</xdr:row>
      <xdr:rowOff>0</xdr:rowOff>
    </xdr:from>
    <xdr:ext cx="7319210" cy="24664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835AF8-6355-52E1-84FB-4315F4D40541}"/>
            </a:ext>
          </a:extLst>
        </xdr:cNvPr>
        <xdr:cNvSpPr txBox="1"/>
      </xdr:nvSpPr>
      <xdr:spPr>
        <a:xfrm>
          <a:off x="0" y="4792579"/>
          <a:ext cx="7319210" cy="2466474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bIns="822960" rtlCol="0" anchor="t">
          <a:noAutofit/>
        </a:bodyPr>
        <a:lstStyle/>
        <a:p>
          <a:r>
            <a:rPr lang="en-US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mixed reference is a form of cell reference in which one of the reference rows or columns is absolute while the other is relative. It, thus, is a mix of absolute and relative references. The ‘</a:t>
          </a:r>
          <a:r>
            <a:rPr lang="en-US" sz="11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US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‘symbol put before the row or column denotes it is the fixed component in the mixed reference. It helps users copy formulas across the worksheet without making any changes manually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Ange as you copy the formula from one cell to another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example, $C3 is a mixed cell reference to cell C3. Suppose you use this cell reference in a formula and copy it into the cells further down in the column. Then the reference to column C remains unchanged, while the row keeps changing with every cell where the command gets applied. The below table shows the tax calculation for a list of stationery items, and the output gets stored in cells F3:F6 and G3:G6</a:t>
          </a:r>
        </a:p>
        <a:p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</xdr:colOff>
      <xdr:row>7</xdr:row>
      <xdr:rowOff>142875</xdr:rowOff>
    </xdr:from>
    <xdr:ext cx="1403931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5ED949-B802-67C4-C0B8-42F8BA66D579}"/>
            </a:ext>
          </a:extLst>
        </xdr:cNvPr>
        <xdr:cNvSpPr txBox="1"/>
      </xdr:nvSpPr>
      <xdr:spPr>
        <a:xfrm>
          <a:off x="4324350" y="1743075"/>
          <a:ext cx="1403931" cy="436786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=SUM(H4,H5)</a:t>
          </a: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571499</xdr:colOff>
      <xdr:row>6</xdr:row>
      <xdr:rowOff>152396</xdr:rowOff>
    </xdr:from>
    <xdr:ext cx="4943476" cy="123825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5E6E81-4169-577E-7F36-D0F3233FA5A1}"/>
            </a:ext>
          </a:extLst>
        </xdr:cNvPr>
        <xdr:cNvSpPr txBox="1"/>
      </xdr:nvSpPr>
      <xdr:spPr>
        <a:xfrm>
          <a:off x="4229099" y="1371596"/>
          <a:ext cx="4943476" cy="123825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Solution-</a:t>
          </a:r>
          <a:r>
            <a:rPr lang="en-US" sz="1100" baseline="0"/>
            <a:t> </a:t>
          </a:r>
          <a:r>
            <a:rPr lang="en-US"/>
            <a:t>the average sales of items priced above 100 but less than 300= 1350</a:t>
          </a:r>
        </a:p>
        <a:p>
          <a:endParaRPr lang="en-US" sz="1100"/>
        </a:p>
        <a:p>
          <a:r>
            <a:rPr lang="en-US" sz="1100"/>
            <a:t>Formula-  =AVERAGEIFS(F5:F6,E5:E6,"&gt;100",E5:E6,"&lt;300")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590550</xdr:colOff>
      <xdr:row>4</xdr:row>
      <xdr:rowOff>9525</xdr:rowOff>
    </xdr:from>
    <xdr:ext cx="3743325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1FE4A7-C60C-DEF2-8286-8339248EBF21}"/>
            </a:ext>
          </a:extLst>
        </xdr:cNvPr>
        <xdr:cNvSpPr txBox="1"/>
      </xdr:nvSpPr>
      <xdr:spPr>
        <a:xfrm>
          <a:off x="4895850" y="1552575"/>
          <a:ext cx="3743325" cy="436786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Solution</a:t>
          </a:r>
        </a:p>
        <a:p>
          <a:r>
            <a:rPr lang="en-US" sz="1100"/>
            <a:t>Formula-  =COUNTA(C3:C52)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9524</xdr:colOff>
      <xdr:row>5</xdr:row>
      <xdr:rowOff>9524</xdr:rowOff>
    </xdr:from>
    <xdr:ext cx="4124325" cy="8286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676EB1-5D11-CE8C-9526-5FA1F51256C7}"/>
            </a:ext>
          </a:extLst>
        </xdr:cNvPr>
        <xdr:cNvSpPr txBox="1"/>
      </xdr:nvSpPr>
      <xdr:spPr>
        <a:xfrm>
          <a:off x="6248399" y="1685924"/>
          <a:ext cx="4124325" cy="828675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Formula-  =SUMIFS(H4:H53, D4:D53, "Notebook", C4:C53, "North")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123824</xdr:colOff>
      <xdr:row>2</xdr:row>
      <xdr:rowOff>252411</xdr:rowOff>
    </xdr:from>
    <xdr:to>
      <xdr:col>18</xdr:col>
      <xdr:colOff>400049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DD98D-2BA9-47E2-A122-38BA0C406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561974</xdr:colOff>
      <xdr:row>2</xdr:row>
      <xdr:rowOff>38100</xdr:rowOff>
    </xdr:from>
    <xdr:to>
      <xdr:col>18</xdr:col>
      <xdr:colOff>571499</xdr:colOff>
      <xdr:row>12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0C834-6A98-4C20-B5CC-4835C2107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H3" t="str">
            <v>Total Sales</v>
          </cell>
        </row>
        <row r="4">
          <cell r="D4" t="str">
            <v>Notebook</v>
          </cell>
          <cell r="G4">
            <v>45413</v>
          </cell>
          <cell r="H4">
            <v>500</v>
          </cell>
        </row>
        <row r="5">
          <cell r="D5" t="str">
            <v>Pen</v>
          </cell>
          <cell r="G5">
            <v>45444</v>
          </cell>
          <cell r="H5">
            <v>200</v>
          </cell>
        </row>
        <row r="6">
          <cell r="D6" t="str">
            <v>Marker</v>
          </cell>
          <cell r="G6">
            <v>45474</v>
          </cell>
          <cell r="H6">
            <v>375</v>
          </cell>
        </row>
        <row r="7">
          <cell r="D7" t="str">
            <v>Notebook</v>
          </cell>
          <cell r="G7">
            <v>45505</v>
          </cell>
          <cell r="H7">
            <v>250</v>
          </cell>
        </row>
        <row r="8">
          <cell r="D8" t="str">
            <v>Pencil</v>
          </cell>
          <cell r="G8">
            <v>45566</v>
          </cell>
          <cell r="H8">
            <v>150</v>
          </cell>
        </row>
        <row r="9">
          <cell r="D9" t="str">
            <v>Notebook</v>
          </cell>
          <cell r="G9">
            <v>45597</v>
          </cell>
          <cell r="H9">
            <v>600</v>
          </cell>
        </row>
        <row r="10">
          <cell r="D10" t="str">
            <v>Eraser</v>
          </cell>
          <cell r="G10" t="str">
            <v>13-01-2024</v>
          </cell>
          <cell r="H10">
            <v>200</v>
          </cell>
        </row>
        <row r="11">
          <cell r="D11" t="str">
            <v>Pen</v>
          </cell>
          <cell r="G11" t="str">
            <v>15-01-2024</v>
          </cell>
          <cell r="H11">
            <v>180</v>
          </cell>
        </row>
        <row r="12">
          <cell r="D12" t="str">
            <v>Marker</v>
          </cell>
          <cell r="G12" t="str">
            <v>17-01-2024</v>
          </cell>
          <cell r="H12">
            <v>550</v>
          </cell>
        </row>
        <row r="13">
          <cell r="D13" t="str">
            <v>Notebook</v>
          </cell>
          <cell r="G13" t="str">
            <v>18-01-2024</v>
          </cell>
          <cell r="H13">
            <v>400</v>
          </cell>
        </row>
        <row r="14">
          <cell r="D14" t="str">
            <v>Pencil</v>
          </cell>
          <cell r="G14" t="str">
            <v>19-01-2024</v>
          </cell>
          <cell r="H14">
            <v>200</v>
          </cell>
        </row>
        <row r="15">
          <cell r="D15" t="str">
            <v>Eraser</v>
          </cell>
          <cell r="G15" t="str">
            <v>20-01-2024</v>
          </cell>
          <cell r="H15">
            <v>280</v>
          </cell>
        </row>
        <row r="16">
          <cell r="D16" t="str">
            <v>Notebook</v>
          </cell>
          <cell r="G16" t="str">
            <v>22-01-2024</v>
          </cell>
          <cell r="H16">
            <v>700</v>
          </cell>
        </row>
        <row r="17">
          <cell r="D17" t="str">
            <v>Pen</v>
          </cell>
          <cell r="G17" t="str">
            <v>23-01-2024</v>
          </cell>
          <cell r="H17">
            <v>280</v>
          </cell>
        </row>
        <row r="18">
          <cell r="D18" t="str">
            <v>Marker</v>
          </cell>
          <cell r="G18" t="str">
            <v>24-01-2024</v>
          </cell>
          <cell r="H18">
            <v>300</v>
          </cell>
        </row>
        <row r="19">
          <cell r="D19" t="str">
            <v>Pencil</v>
          </cell>
          <cell r="G19" t="str">
            <v>26-01-2024</v>
          </cell>
          <cell r="H19">
            <v>125</v>
          </cell>
        </row>
        <row r="20">
          <cell r="D20" t="str">
            <v>Eraser</v>
          </cell>
          <cell r="G20" t="str">
            <v>28-01-2024</v>
          </cell>
          <cell r="H20">
            <v>160</v>
          </cell>
        </row>
        <row r="21">
          <cell r="D21" t="str">
            <v>Notebook</v>
          </cell>
          <cell r="G21" t="str">
            <v>29-01-2024</v>
          </cell>
          <cell r="H21">
            <v>500</v>
          </cell>
        </row>
        <row r="22">
          <cell r="D22" t="str">
            <v>Pen</v>
          </cell>
          <cell r="G22" t="str">
            <v>30-01-2024</v>
          </cell>
          <cell r="H22">
            <v>150</v>
          </cell>
        </row>
        <row r="23">
          <cell r="D23" t="str">
            <v>Marker</v>
          </cell>
          <cell r="G23">
            <v>45293</v>
          </cell>
          <cell r="H23">
            <v>450</v>
          </cell>
        </row>
        <row r="24">
          <cell r="D24" t="str">
            <v>Notebook</v>
          </cell>
          <cell r="G24">
            <v>45324</v>
          </cell>
          <cell r="H24">
            <v>450</v>
          </cell>
        </row>
        <row r="25">
          <cell r="D25" t="str">
            <v>Pencil</v>
          </cell>
          <cell r="G25">
            <v>45353</v>
          </cell>
          <cell r="H25">
            <v>175</v>
          </cell>
        </row>
        <row r="26">
          <cell r="D26" t="str">
            <v>Eraser</v>
          </cell>
          <cell r="G26">
            <v>45384</v>
          </cell>
          <cell r="H26">
            <v>240</v>
          </cell>
        </row>
        <row r="27">
          <cell r="D27" t="str">
            <v>Notebook</v>
          </cell>
          <cell r="G27">
            <v>45445</v>
          </cell>
          <cell r="H27">
            <v>550</v>
          </cell>
        </row>
        <row r="28">
          <cell r="D28" t="str">
            <v>Pen</v>
          </cell>
          <cell r="G28">
            <v>45475</v>
          </cell>
          <cell r="H28">
            <v>140</v>
          </cell>
        </row>
        <row r="29">
          <cell r="D29" t="str">
            <v>Marker</v>
          </cell>
          <cell r="G29">
            <v>45506</v>
          </cell>
          <cell r="H29">
            <v>400</v>
          </cell>
        </row>
        <row r="30">
          <cell r="D30" t="str">
            <v>Pencil</v>
          </cell>
          <cell r="G30">
            <v>45537</v>
          </cell>
          <cell r="H30">
            <v>110</v>
          </cell>
        </row>
        <row r="31">
          <cell r="D31" t="str">
            <v>Eraser</v>
          </cell>
          <cell r="G31">
            <v>45567</v>
          </cell>
          <cell r="H31">
            <v>216</v>
          </cell>
        </row>
        <row r="32">
          <cell r="D32" t="str">
            <v>Notebook</v>
          </cell>
          <cell r="G32">
            <v>45628</v>
          </cell>
          <cell r="H32">
            <v>650</v>
          </cell>
        </row>
        <row r="33">
          <cell r="D33" t="str">
            <v>Pen</v>
          </cell>
          <cell r="G33" t="str">
            <v>13-02-2024</v>
          </cell>
          <cell r="H33">
            <v>320</v>
          </cell>
        </row>
        <row r="34">
          <cell r="D34" t="str">
            <v>Marker</v>
          </cell>
          <cell r="G34" t="str">
            <v>14-02-2024</v>
          </cell>
          <cell r="H34">
            <v>250</v>
          </cell>
        </row>
        <row r="35">
          <cell r="D35" t="str">
            <v>Pencil</v>
          </cell>
          <cell r="G35" t="str">
            <v>16-02-2024</v>
          </cell>
          <cell r="H35">
            <v>90</v>
          </cell>
        </row>
        <row r="36">
          <cell r="D36" t="str">
            <v>Eraser</v>
          </cell>
          <cell r="G36" t="str">
            <v>17-02-2024</v>
          </cell>
          <cell r="H36">
            <v>176</v>
          </cell>
        </row>
        <row r="37">
          <cell r="D37" t="str">
            <v>Notebook</v>
          </cell>
          <cell r="G37" t="str">
            <v>18-02-2024</v>
          </cell>
          <cell r="H37">
            <v>850</v>
          </cell>
        </row>
        <row r="38">
          <cell r="D38" t="str">
            <v>Pen</v>
          </cell>
          <cell r="G38" t="str">
            <v>19-02-2024</v>
          </cell>
          <cell r="H38">
            <v>190</v>
          </cell>
        </row>
        <row r="39">
          <cell r="D39" t="str">
            <v>Marker</v>
          </cell>
          <cell r="G39" t="str">
            <v>21-02-2024</v>
          </cell>
          <cell r="H39">
            <v>375</v>
          </cell>
        </row>
        <row r="40">
          <cell r="D40" t="str">
            <v>Pencil</v>
          </cell>
          <cell r="G40" t="str">
            <v>22-02-2024</v>
          </cell>
          <cell r="H40">
            <v>140</v>
          </cell>
        </row>
        <row r="41">
          <cell r="D41" t="str">
            <v>Eraser</v>
          </cell>
          <cell r="G41" t="str">
            <v>23-02-2024</v>
          </cell>
          <cell r="H41">
            <v>192</v>
          </cell>
        </row>
        <row r="42">
          <cell r="D42" t="str">
            <v>Notebook</v>
          </cell>
          <cell r="G42" t="str">
            <v>25-02-2024</v>
          </cell>
          <cell r="H42">
            <v>800</v>
          </cell>
        </row>
        <row r="43">
          <cell r="D43" t="str">
            <v>Pen</v>
          </cell>
          <cell r="G43" t="str">
            <v>26-02-2024</v>
          </cell>
          <cell r="H43">
            <v>270</v>
          </cell>
        </row>
        <row r="44">
          <cell r="D44" t="str">
            <v>Marker</v>
          </cell>
          <cell r="G44" t="str">
            <v>27-02-2024</v>
          </cell>
          <cell r="H44">
            <v>525</v>
          </cell>
        </row>
        <row r="45">
          <cell r="D45" t="str">
            <v>Pencil</v>
          </cell>
          <cell r="G45" t="str">
            <v>28-02-2024</v>
          </cell>
          <cell r="H45">
            <v>150</v>
          </cell>
        </row>
        <row r="46">
          <cell r="D46" t="str">
            <v>Eraser</v>
          </cell>
          <cell r="G46">
            <v>45294</v>
          </cell>
          <cell r="H46">
            <v>208</v>
          </cell>
        </row>
        <row r="47">
          <cell r="D47" t="str">
            <v>Notebook</v>
          </cell>
          <cell r="G47">
            <v>45325</v>
          </cell>
          <cell r="H47">
            <v>700</v>
          </cell>
        </row>
        <row r="48">
          <cell r="D48" t="str">
            <v>Pen</v>
          </cell>
          <cell r="G48">
            <v>45354</v>
          </cell>
          <cell r="H48">
            <v>200</v>
          </cell>
        </row>
        <row r="49">
          <cell r="D49" t="str">
            <v>Marker</v>
          </cell>
          <cell r="G49">
            <v>45385</v>
          </cell>
          <cell r="H49">
            <v>425</v>
          </cell>
        </row>
        <row r="50">
          <cell r="D50" t="str">
            <v>Pencil</v>
          </cell>
          <cell r="G50">
            <v>45415</v>
          </cell>
          <cell r="H50">
            <v>95</v>
          </cell>
        </row>
        <row r="51">
          <cell r="D51" t="str">
            <v>Eraser</v>
          </cell>
          <cell r="G51">
            <v>45446</v>
          </cell>
          <cell r="H51">
            <v>256</v>
          </cell>
        </row>
        <row r="52">
          <cell r="D52" t="str">
            <v>Notebook</v>
          </cell>
          <cell r="G52">
            <v>45476</v>
          </cell>
          <cell r="H52">
            <v>600</v>
          </cell>
        </row>
        <row r="53">
          <cell r="D53" t="str">
            <v>Pen</v>
          </cell>
          <cell r="G53">
            <v>45507</v>
          </cell>
          <cell r="H53">
            <v>250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6636-2982-453F-B301-F6912A871DF3}">
  <dimension ref="A1:I24"/>
  <sheetViews>
    <sheetView tabSelected="1" zoomScale="95" zoomScaleNormal="95" workbookViewId="0">
      <selection activeCell="M14" sqref="M14"/>
    </sheetView>
  </sheetViews>
  <sheetFormatPr defaultRowHeight="15" x14ac:dyDescent="0.25"/>
  <cols>
    <col min="1" max="1" width="12" bestFit="1" customWidth="1"/>
    <col min="7" max="7" width="28.42578125" bestFit="1" customWidth="1"/>
  </cols>
  <sheetData>
    <row r="1" spans="1:9" s="16" customFormat="1" ht="26.25" x14ac:dyDescent="0.4">
      <c r="G1" s="15" t="s">
        <v>100</v>
      </c>
    </row>
    <row r="3" spans="1:9" s="17" customFormat="1" x14ac:dyDescent="0.25">
      <c r="G3" s="17" t="s">
        <v>112</v>
      </c>
    </row>
    <row r="5" spans="1:9" x14ac:dyDescent="0.25">
      <c r="A5" s="16" t="s">
        <v>101</v>
      </c>
      <c r="B5" s="16"/>
      <c r="C5" s="16"/>
      <c r="D5" s="16"/>
      <c r="E5" s="16"/>
      <c r="F5" s="16"/>
      <c r="G5" s="16"/>
    </row>
    <row r="6" spans="1:9" x14ac:dyDescent="0.25">
      <c r="A6" s="20" t="s">
        <v>102</v>
      </c>
      <c r="B6" s="20"/>
      <c r="C6" s="20"/>
      <c r="D6" s="20"/>
      <c r="E6" s="20"/>
      <c r="F6" s="20"/>
      <c r="G6" s="20"/>
      <c r="H6" s="20"/>
      <c r="I6" s="20"/>
    </row>
    <row r="7" spans="1:9" ht="15.75" x14ac:dyDescent="0.25">
      <c r="A7" s="18" t="s">
        <v>103</v>
      </c>
      <c r="B7" s="18"/>
      <c r="C7" s="18"/>
      <c r="D7" s="24"/>
      <c r="E7" s="24"/>
      <c r="F7" s="24"/>
      <c r="G7" s="24"/>
      <c r="H7" s="20"/>
      <c r="I7" s="20"/>
    </row>
    <row r="8" spans="1:9" x14ac:dyDescent="0.25">
      <c r="A8" s="18" t="s">
        <v>104</v>
      </c>
      <c r="B8" s="18"/>
      <c r="C8" s="18"/>
      <c r="D8" s="18"/>
      <c r="E8" s="18"/>
      <c r="F8" s="18"/>
      <c r="G8" s="18"/>
      <c r="H8" s="20"/>
      <c r="I8" s="20"/>
    </row>
    <row r="9" spans="1:9" ht="15.75" x14ac:dyDescent="0.25">
      <c r="A9" s="18" t="s">
        <v>105</v>
      </c>
      <c r="B9" s="18"/>
      <c r="C9" s="18"/>
      <c r="D9" s="18"/>
      <c r="E9" s="18"/>
      <c r="F9" s="18"/>
      <c r="G9" s="24"/>
      <c r="H9" s="20"/>
      <c r="I9" s="20"/>
    </row>
    <row r="10" spans="1:9" ht="15.75" x14ac:dyDescent="0.25">
      <c r="A10" s="18" t="s">
        <v>106</v>
      </c>
      <c r="B10" s="24"/>
      <c r="C10" s="24"/>
      <c r="D10" s="24"/>
      <c r="E10" s="24"/>
      <c r="F10" s="24"/>
      <c r="G10" s="24"/>
      <c r="H10" s="20"/>
      <c r="I10" s="20"/>
    </row>
    <row r="11" spans="1:9" ht="15.75" x14ac:dyDescent="0.25">
      <c r="A11" s="19" t="s">
        <v>107</v>
      </c>
      <c r="B11" s="19"/>
      <c r="C11" s="19"/>
      <c r="D11" s="19"/>
      <c r="E11" s="19"/>
      <c r="F11" s="19"/>
      <c r="G11" s="19"/>
      <c r="H11" s="20"/>
      <c r="I11" s="20"/>
    </row>
    <row r="12" spans="1:9" ht="15.75" x14ac:dyDescent="0.25">
      <c r="A12" s="19" t="s">
        <v>108</v>
      </c>
      <c r="B12" s="19"/>
      <c r="C12" s="19"/>
      <c r="D12" s="19"/>
      <c r="E12" s="19"/>
      <c r="F12" s="19"/>
      <c r="G12" s="19"/>
      <c r="H12" s="20"/>
      <c r="I12" s="20"/>
    </row>
    <row r="13" spans="1:9" ht="15.75" x14ac:dyDescent="0.25">
      <c r="A13" s="19" t="s">
        <v>109</v>
      </c>
      <c r="B13" s="19"/>
      <c r="C13" s="19"/>
      <c r="D13" s="19"/>
      <c r="E13" s="19"/>
      <c r="F13" s="19"/>
      <c r="G13" s="19"/>
      <c r="H13" s="20"/>
      <c r="I13" s="20"/>
    </row>
    <row r="14" spans="1:9" x14ac:dyDescent="0.25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5.75" x14ac:dyDescent="0.25">
      <c r="A15" s="19" t="s">
        <v>110</v>
      </c>
      <c r="B15" s="20"/>
      <c r="C15" s="20"/>
      <c r="D15" s="20"/>
      <c r="E15" s="20"/>
      <c r="F15" s="20"/>
      <c r="G15" s="20"/>
      <c r="H15" s="20"/>
      <c r="I15" s="20"/>
    </row>
    <row r="16" spans="1:9" s="22" customFormat="1" ht="15.75" x14ac:dyDescent="0.25">
      <c r="A16" s="23"/>
    </row>
    <row r="18" spans="1:5" x14ac:dyDescent="0.25">
      <c r="E18" s="21"/>
    </row>
    <row r="24" spans="1:5" x14ac:dyDescent="0.25">
      <c r="A24" s="20" t="s">
        <v>111</v>
      </c>
      <c r="B24" s="20"/>
      <c r="C24" s="20"/>
    </row>
  </sheetData>
  <pageMargins left="0.7" right="0.7" top="0.75" bottom="0.75" header="0.3" footer="0.3"/>
  <pageSetup orientation="portrait" horizontalDpi="200" verticalDpi="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00E6-9A9F-467B-B77D-E98FE2894979}">
  <dimension ref="A1:K10"/>
  <sheetViews>
    <sheetView workbookViewId="0">
      <selection activeCell="P1" sqref="P1"/>
    </sheetView>
  </sheetViews>
  <sheetFormatPr defaultRowHeight="15" x14ac:dyDescent="0.25"/>
  <sheetData>
    <row r="1" spans="1:11" s="13" customFormat="1" ht="24" x14ac:dyDescent="0.4">
      <c r="A1" s="13" t="s">
        <v>113</v>
      </c>
    </row>
    <row r="2" spans="1:11" ht="21" x14ac:dyDescent="0.35">
      <c r="A2" s="25"/>
      <c r="B2" s="26"/>
    </row>
    <row r="3" spans="1:11" ht="21" x14ac:dyDescent="0.35">
      <c r="A3" s="27"/>
      <c r="B3" s="27"/>
      <c r="G3" s="10" t="s">
        <v>94</v>
      </c>
      <c r="H3" s="11" t="s">
        <v>95</v>
      </c>
      <c r="I3" s="30" t="s">
        <v>114</v>
      </c>
      <c r="J3" s="30"/>
      <c r="K3" s="30"/>
    </row>
    <row r="4" spans="1:11" x14ac:dyDescent="0.25">
      <c r="A4" s="27"/>
      <c r="B4" s="27"/>
      <c r="G4" s="12" t="s">
        <v>96</v>
      </c>
      <c r="H4" s="12">
        <v>500000</v>
      </c>
      <c r="I4">
        <f>SUM(H4,H5)</f>
        <v>510500</v>
      </c>
    </row>
    <row r="5" spans="1:11" x14ac:dyDescent="0.25">
      <c r="A5" s="27"/>
      <c r="B5" s="27"/>
      <c r="G5" s="12" t="s">
        <v>97</v>
      </c>
      <c r="H5" s="12">
        <v>10500</v>
      </c>
    </row>
    <row r="6" spans="1:11" x14ac:dyDescent="0.25">
      <c r="A6" s="27"/>
      <c r="B6" s="27"/>
      <c r="G6" s="12" t="s">
        <v>98</v>
      </c>
      <c r="H6" s="12">
        <v>25000</v>
      </c>
    </row>
    <row r="7" spans="1:11" x14ac:dyDescent="0.25">
      <c r="A7" s="27"/>
      <c r="B7" s="6"/>
    </row>
    <row r="8" spans="1:11" x14ac:dyDescent="0.25">
      <c r="A8" s="6"/>
      <c r="B8" s="6"/>
    </row>
    <row r="9" spans="1:11" x14ac:dyDescent="0.25">
      <c r="A9" s="27"/>
      <c r="B9" s="6"/>
      <c r="G9" s="31" t="s">
        <v>99</v>
      </c>
    </row>
    <row r="10" spans="1:11" x14ac:dyDescent="0.25">
      <c r="A10" s="29"/>
      <c r="B10" s="29"/>
    </row>
  </sheetData>
  <pageMargins left="0.7" right="0.7" top="0.75" bottom="0.75" header="0.3" footer="0.3"/>
  <pageSetup orientation="portrait" horizontalDpi="200" verticalDpi="20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5F35-CFC8-48EE-ACEA-DF66195852C1}">
  <dimension ref="A1:P7"/>
  <sheetViews>
    <sheetView workbookViewId="0">
      <selection activeCell="B11" sqref="B11"/>
    </sheetView>
  </sheetViews>
  <sheetFormatPr defaultRowHeight="15" x14ac:dyDescent="0.25"/>
  <sheetData>
    <row r="1" spans="1:16" ht="21" x14ac:dyDescent="0.35">
      <c r="A1" s="40" t="s">
        <v>117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3" spans="1:16" x14ac:dyDescent="0.25">
      <c r="C3" s="16"/>
      <c r="D3" s="16" t="s">
        <v>118</v>
      </c>
      <c r="E3" s="16" t="s">
        <v>95</v>
      </c>
      <c r="F3" s="16" t="s">
        <v>119</v>
      </c>
    </row>
    <row r="4" spans="1:16" x14ac:dyDescent="0.25">
      <c r="C4" s="7"/>
      <c r="D4" s="7" t="s">
        <v>120</v>
      </c>
      <c r="E4" s="7">
        <v>90</v>
      </c>
      <c r="F4" s="7">
        <v>1000</v>
      </c>
    </row>
    <row r="5" spans="1:16" x14ac:dyDescent="0.25">
      <c r="C5" s="7"/>
      <c r="D5" s="7" t="s">
        <v>121</v>
      </c>
      <c r="E5" s="7">
        <v>150</v>
      </c>
      <c r="F5" s="7">
        <v>1200</v>
      </c>
      <c r="H5" s="33" t="s">
        <v>123</v>
      </c>
      <c r="I5" s="33">
        <f>AVERAGEIFS(F5:F6,E5:E6,"&gt;100",E5:E6,"&lt;300")</f>
        <v>1350</v>
      </c>
    </row>
    <row r="6" spans="1:16" x14ac:dyDescent="0.25">
      <c r="C6" s="7"/>
      <c r="D6" s="7" t="s">
        <v>122</v>
      </c>
      <c r="E6" s="7">
        <v>200</v>
      </c>
      <c r="F6" s="7">
        <v>1500</v>
      </c>
    </row>
    <row r="7" spans="1:16" x14ac:dyDescent="0.25">
      <c r="C7" s="7"/>
      <c r="D7" s="7"/>
      <c r="E7" s="7"/>
      <c r="F7" s="7"/>
    </row>
  </sheetData>
  <pageMargins left="0.7" right="0.7" top="0.75" bottom="0.75" header="0.3" footer="0.3"/>
  <ignoredErrors>
    <ignoredError sqref="I5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0856-A551-4C47-9D20-426A596D02CF}">
  <dimension ref="A1:I52"/>
  <sheetViews>
    <sheetView workbookViewId="0">
      <selection activeCell="M2" sqref="M2"/>
    </sheetView>
  </sheetViews>
  <sheetFormatPr defaultRowHeight="15" x14ac:dyDescent="0.25"/>
  <cols>
    <col min="7" max="7" width="9.7109375" bestFit="1" customWidth="1"/>
  </cols>
  <sheetData>
    <row r="1" spans="1:9" ht="29.25" thickBot="1" x14ac:dyDescent="0.5">
      <c r="A1" s="32" t="s">
        <v>93</v>
      </c>
      <c r="B1" s="32"/>
      <c r="C1" s="32"/>
      <c r="D1" s="32"/>
      <c r="E1" s="32"/>
      <c r="F1" s="32"/>
      <c r="G1" s="32"/>
      <c r="H1" s="5"/>
      <c r="I1" s="5"/>
    </row>
    <row r="2" spans="1:9" ht="30.75" thickBo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9" ht="30.75" thickBot="1" x14ac:dyDescent="0.3">
      <c r="A3" s="1">
        <v>1001</v>
      </c>
      <c r="B3" s="2" t="s">
        <v>7</v>
      </c>
      <c r="C3" s="2" t="s">
        <v>8</v>
      </c>
      <c r="D3" s="2" t="s">
        <v>9</v>
      </c>
      <c r="E3" s="1">
        <v>10</v>
      </c>
      <c r="F3" s="1">
        <v>50</v>
      </c>
      <c r="G3" s="3">
        <v>45413</v>
      </c>
      <c r="I3" s="33">
        <f>COUNTA(C3:C52)</f>
        <v>50</v>
      </c>
    </row>
    <row r="4" spans="1:9" ht="30.75" thickBot="1" x14ac:dyDescent="0.3">
      <c r="A4" s="1">
        <v>1002</v>
      </c>
      <c r="B4" s="2" t="s">
        <v>10</v>
      </c>
      <c r="C4" s="2" t="s">
        <v>11</v>
      </c>
      <c r="D4" s="2" t="s">
        <v>12</v>
      </c>
      <c r="E4" s="1">
        <v>20</v>
      </c>
      <c r="F4" s="1">
        <v>10</v>
      </c>
      <c r="G4" s="3">
        <v>45444</v>
      </c>
    </row>
    <row r="5" spans="1:9" ht="30.75" thickBot="1" x14ac:dyDescent="0.3">
      <c r="A5" s="1">
        <v>1003</v>
      </c>
      <c r="B5" s="2" t="s">
        <v>13</v>
      </c>
      <c r="C5" s="2" t="s">
        <v>14</v>
      </c>
      <c r="D5" s="2" t="s">
        <v>15</v>
      </c>
      <c r="E5" s="1">
        <v>15</v>
      </c>
      <c r="F5" s="1">
        <v>25</v>
      </c>
      <c r="G5" s="3">
        <v>45474</v>
      </c>
    </row>
    <row r="6" spans="1:9" ht="30.75" thickBot="1" x14ac:dyDescent="0.3">
      <c r="A6" s="1">
        <v>1004</v>
      </c>
      <c r="B6" s="2" t="s">
        <v>16</v>
      </c>
      <c r="C6" s="2" t="s">
        <v>17</v>
      </c>
      <c r="D6" s="2" t="s">
        <v>9</v>
      </c>
      <c r="E6" s="1">
        <v>5</v>
      </c>
      <c r="F6" s="1">
        <v>50</v>
      </c>
      <c r="G6" s="3">
        <v>45505</v>
      </c>
    </row>
    <row r="7" spans="1:9" ht="30.75" thickBot="1" x14ac:dyDescent="0.3">
      <c r="A7" s="1">
        <v>1005</v>
      </c>
      <c r="B7" s="2" t="s">
        <v>18</v>
      </c>
      <c r="C7" s="2" t="s">
        <v>8</v>
      </c>
      <c r="D7" s="2" t="s">
        <v>19</v>
      </c>
      <c r="E7" s="1">
        <v>30</v>
      </c>
      <c r="F7" s="1">
        <v>5</v>
      </c>
      <c r="G7" s="3">
        <v>45566</v>
      </c>
    </row>
    <row r="8" spans="1:9" ht="30.75" thickBot="1" x14ac:dyDescent="0.3">
      <c r="A8" s="1">
        <v>1006</v>
      </c>
      <c r="B8" s="2" t="s">
        <v>20</v>
      </c>
      <c r="C8" s="2" t="s">
        <v>11</v>
      </c>
      <c r="D8" s="2" t="s">
        <v>9</v>
      </c>
      <c r="E8" s="1">
        <v>12</v>
      </c>
      <c r="F8" s="1">
        <v>50</v>
      </c>
      <c r="G8" s="3">
        <v>45597</v>
      </c>
    </row>
    <row r="9" spans="1:9" ht="30.75" thickBot="1" x14ac:dyDescent="0.3">
      <c r="A9" s="1">
        <v>1007</v>
      </c>
      <c r="B9" s="2" t="s">
        <v>21</v>
      </c>
      <c r="C9" s="2" t="s">
        <v>14</v>
      </c>
      <c r="D9" s="2" t="s">
        <v>22</v>
      </c>
      <c r="E9" s="1">
        <v>25</v>
      </c>
      <c r="F9" s="1">
        <v>8</v>
      </c>
      <c r="G9" s="1" t="s">
        <v>23</v>
      </c>
    </row>
    <row r="10" spans="1:9" ht="30.75" thickBot="1" x14ac:dyDescent="0.3">
      <c r="A10" s="1">
        <v>1008</v>
      </c>
      <c r="B10" s="2" t="s">
        <v>24</v>
      </c>
      <c r="C10" s="2" t="s">
        <v>17</v>
      </c>
      <c r="D10" s="2" t="s">
        <v>12</v>
      </c>
      <c r="E10" s="1">
        <v>18</v>
      </c>
      <c r="F10" s="1">
        <v>10</v>
      </c>
      <c r="G10" s="1" t="s">
        <v>25</v>
      </c>
    </row>
    <row r="11" spans="1:9" ht="30.75" thickBot="1" x14ac:dyDescent="0.3">
      <c r="A11" s="1">
        <v>1009</v>
      </c>
      <c r="B11" s="2" t="s">
        <v>26</v>
      </c>
      <c r="C11" s="2" t="s">
        <v>8</v>
      </c>
      <c r="D11" s="2" t="s">
        <v>15</v>
      </c>
      <c r="E11" s="1">
        <v>22</v>
      </c>
      <c r="F11" s="1">
        <v>25</v>
      </c>
      <c r="G11" s="1" t="s">
        <v>27</v>
      </c>
    </row>
    <row r="12" spans="1:9" ht="30.75" thickBot="1" x14ac:dyDescent="0.3">
      <c r="A12" s="1">
        <v>1010</v>
      </c>
      <c r="B12" s="2" t="s">
        <v>28</v>
      </c>
      <c r="C12" s="2" t="s">
        <v>11</v>
      </c>
      <c r="D12" s="2" t="s">
        <v>9</v>
      </c>
      <c r="E12" s="1">
        <v>8</v>
      </c>
      <c r="F12" s="1">
        <v>50</v>
      </c>
      <c r="G12" s="1" t="s">
        <v>29</v>
      </c>
    </row>
    <row r="13" spans="1:9" ht="30.75" thickBot="1" x14ac:dyDescent="0.3">
      <c r="A13" s="1">
        <v>1011</v>
      </c>
      <c r="B13" s="2" t="s">
        <v>30</v>
      </c>
      <c r="C13" s="2" t="s">
        <v>14</v>
      </c>
      <c r="D13" s="2" t="s">
        <v>19</v>
      </c>
      <c r="E13" s="1">
        <v>40</v>
      </c>
      <c r="F13" s="1">
        <v>5</v>
      </c>
      <c r="G13" s="1" t="s">
        <v>31</v>
      </c>
    </row>
    <row r="14" spans="1:9" ht="30.75" thickBot="1" x14ac:dyDescent="0.3">
      <c r="A14" s="1">
        <v>1012</v>
      </c>
      <c r="B14" s="2" t="s">
        <v>32</v>
      </c>
      <c r="C14" s="2" t="s">
        <v>17</v>
      </c>
      <c r="D14" s="2" t="s">
        <v>22</v>
      </c>
      <c r="E14" s="1">
        <v>35</v>
      </c>
      <c r="F14" s="1">
        <v>8</v>
      </c>
      <c r="G14" s="1" t="s">
        <v>33</v>
      </c>
    </row>
    <row r="15" spans="1:9" ht="30.75" thickBot="1" x14ac:dyDescent="0.3">
      <c r="A15" s="1">
        <v>1013</v>
      </c>
      <c r="B15" s="2" t="s">
        <v>34</v>
      </c>
      <c r="C15" s="2" t="s">
        <v>8</v>
      </c>
      <c r="D15" s="2" t="s">
        <v>9</v>
      </c>
      <c r="E15" s="1">
        <v>14</v>
      </c>
      <c r="F15" s="1">
        <v>50</v>
      </c>
      <c r="G15" s="1" t="s">
        <v>35</v>
      </c>
    </row>
    <row r="16" spans="1:9" ht="30.75" thickBot="1" x14ac:dyDescent="0.3">
      <c r="A16" s="1">
        <v>1014</v>
      </c>
      <c r="B16" s="2" t="s">
        <v>36</v>
      </c>
      <c r="C16" s="2" t="s">
        <v>11</v>
      </c>
      <c r="D16" s="2" t="s">
        <v>12</v>
      </c>
      <c r="E16" s="1">
        <v>28</v>
      </c>
      <c r="F16" s="1">
        <v>10</v>
      </c>
      <c r="G16" s="1" t="s">
        <v>37</v>
      </c>
    </row>
    <row r="17" spans="1:7" ht="30.75" thickBot="1" x14ac:dyDescent="0.3">
      <c r="A17" s="1">
        <v>1015</v>
      </c>
      <c r="B17" s="2" t="s">
        <v>38</v>
      </c>
      <c r="C17" s="2" t="s">
        <v>14</v>
      </c>
      <c r="D17" s="2" t="s">
        <v>15</v>
      </c>
      <c r="E17" s="1">
        <v>12</v>
      </c>
      <c r="F17" s="1">
        <v>25</v>
      </c>
      <c r="G17" s="1" t="s">
        <v>39</v>
      </c>
    </row>
    <row r="18" spans="1:7" ht="30.75" thickBot="1" x14ac:dyDescent="0.3">
      <c r="A18" s="1">
        <v>1016</v>
      </c>
      <c r="B18" s="2" t="s">
        <v>40</v>
      </c>
      <c r="C18" s="2" t="s">
        <v>17</v>
      </c>
      <c r="D18" s="2" t="s">
        <v>19</v>
      </c>
      <c r="E18" s="1">
        <v>25</v>
      </c>
      <c r="F18" s="1">
        <v>5</v>
      </c>
      <c r="G18" s="1" t="s">
        <v>41</v>
      </c>
    </row>
    <row r="19" spans="1:7" ht="30.75" thickBot="1" x14ac:dyDescent="0.3">
      <c r="A19" s="1">
        <v>1017</v>
      </c>
      <c r="B19" s="2" t="s">
        <v>42</v>
      </c>
      <c r="C19" s="2" t="s">
        <v>8</v>
      </c>
      <c r="D19" s="2" t="s">
        <v>22</v>
      </c>
      <c r="E19" s="1">
        <v>20</v>
      </c>
      <c r="F19" s="1">
        <v>8</v>
      </c>
      <c r="G19" s="1" t="s">
        <v>43</v>
      </c>
    </row>
    <row r="20" spans="1:7" ht="30.75" thickBot="1" x14ac:dyDescent="0.3">
      <c r="A20" s="1">
        <v>1018</v>
      </c>
      <c r="B20" s="2" t="s">
        <v>44</v>
      </c>
      <c r="C20" s="2" t="s">
        <v>11</v>
      </c>
      <c r="D20" s="2" t="s">
        <v>9</v>
      </c>
      <c r="E20" s="1">
        <v>10</v>
      </c>
      <c r="F20" s="1">
        <v>50</v>
      </c>
      <c r="G20" s="1" t="s">
        <v>45</v>
      </c>
    </row>
    <row r="21" spans="1:7" ht="30.75" thickBot="1" x14ac:dyDescent="0.3">
      <c r="A21" s="1">
        <v>1019</v>
      </c>
      <c r="B21" s="2" t="s">
        <v>46</v>
      </c>
      <c r="C21" s="2" t="s">
        <v>14</v>
      </c>
      <c r="D21" s="2" t="s">
        <v>12</v>
      </c>
      <c r="E21" s="1">
        <v>15</v>
      </c>
      <c r="F21" s="1">
        <v>10</v>
      </c>
      <c r="G21" s="1" t="s">
        <v>47</v>
      </c>
    </row>
    <row r="22" spans="1:7" ht="30.75" thickBot="1" x14ac:dyDescent="0.3">
      <c r="A22" s="1">
        <v>1020</v>
      </c>
      <c r="B22" s="2" t="s">
        <v>48</v>
      </c>
      <c r="C22" s="2" t="s">
        <v>17</v>
      </c>
      <c r="D22" s="2" t="s">
        <v>15</v>
      </c>
      <c r="E22" s="1">
        <v>18</v>
      </c>
      <c r="F22" s="1">
        <v>25</v>
      </c>
      <c r="G22" s="3">
        <v>45293</v>
      </c>
    </row>
    <row r="23" spans="1:7" ht="30.75" thickBot="1" x14ac:dyDescent="0.3">
      <c r="A23" s="1">
        <v>1021</v>
      </c>
      <c r="B23" s="2" t="s">
        <v>49</v>
      </c>
      <c r="C23" s="2" t="s">
        <v>8</v>
      </c>
      <c r="D23" s="2" t="s">
        <v>9</v>
      </c>
      <c r="E23" s="1">
        <v>9</v>
      </c>
      <c r="F23" s="1">
        <v>50</v>
      </c>
      <c r="G23" s="3">
        <v>45324</v>
      </c>
    </row>
    <row r="24" spans="1:7" ht="30.75" thickBot="1" x14ac:dyDescent="0.3">
      <c r="A24" s="1">
        <v>1022</v>
      </c>
      <c r="B24" s="2" t="s">
        <v>50</v>
      </c>
      <c r="C24" s="2" t="s">
        <v>11</v>
      </c>
      <c r="D24" s="2" t="s">
        <v>19</v>
      </c>
      <c r="E24" s="1">
        <v>35</v>
      </c>
      <c r="F24" s="1">
        <v>5</v>
      </c>
      <c r="G24" s="3">
        <v>45353</v>
      </c>
    </row>
    <row r="25" spans="1:7" ht="30.75" thickBot="1" x14ac:dyDescent="0.3">
      <c r="A25" s="1">
        <v>1023</v>
      </c>
      <c r="B25" s="2" t="s">
        <v>51</v>
      </c>
      <c r="C25" s="2" t="s">
        <v>14</v>
      </c>
      <c r="D25" s="2" t="s">
        <v>22</v>
      </c>
      <c r="E25" s="1">
        <v>30</v>
      </c>
      <c r="F25" s="1">
        <v>8</v>
      </c>
      <c r="G25" s="3">
        <v>45384</v>
      </c>
    </row>
    <row r="26" spans="1:7" ht="30.75" thickBot="1" x14ac:dyDescent="0.3">
      <c r="A26" s="1">
        <v>1024</v>
      </c>
      <c r="B26" s="2" t="s">
        <v>52</v>
      </c>
      <c r="C26" s="2" t="s">
        <v>17</v>
      </c>
      <c r="D26" s="2" t="s">
        <v>9</v>
      </c>
      <c r="E26" s="1">
        <v>11</v>
      </c>
      <c r="F26" s="1">
        <v>50</v>
      </c>
      <c r="G26" s="3">
        <v>45445</v>
      </c>
    </row>
    <row r="27" spans="1:7" ht="30.75" thickBot="1" x14ac:dyDescent="0.3">
      <c r="A27" s="1">
        <v>1025</v>
      </c>
      <c r="B27" s="2" t="s">
        <v>53</v>
      </c>
      <c r="C27" s="2" t="s">
        <v>8</v>
      </c>
      <c r="D27" s="2" t="s">
        <v>12</v>
      </c>
      <c r="E27" s="1">
        <v>14</v>
      </c>
      <c r="F27" s="1">
        <v>10</v>
      </c>
      <c r="G27" s="3">
        <v>45475</v>
      </c>
    </row>
    <row r="28" spans="1:7" ht="30.75" thickBot="1" x14ac:dyDescent="0.3">
      <c r="A28" s="1">
        <v>1026</v>
      </c>
      <c r="B28" s="2" t="s">
        <v>54</v>
      </c>
      <c r="C28" s="2" t="s">
        <v>11</v>
      </c>
      <c r="D28" s="2" t="s">
        <v>15</v>
      </c>
      <c r="E28" s="1">
        <v>16</v>
      </c>
      <c r="F28" s="1">
        <v>25</v>
      </c>
      <c r="G28" s="3">
        <v>45506</v>
      </c>
    </row>
    <row r="29" spans="1:7" ht="30.75" thickBot="1" x14ac:dyDescent="0.3">
      <c r="A29" s="1">
        <v>1027</v>
      </c>
      <c r="B29" s="2" t="s">
        <v>55</v>
      </c>
      <c r="C29" s="2" t="s">
        <v>14</v>
      </c>
      <c r="D29" s="2" t="s">
        <v>19</v>
      </c>
      <c r="E29" s="1">
        <v>22</v>
      </c>
      <c r="F29" s="1">
        <v>5</v>
      </c>
      <c r="G29" s="3">
        <v>45537</v>
      </c>
    </row>
    <row r="30" spans="1:7" ht="30.75" thickBot="1" x14ac:dyDescent="0.3">
      <c r="A30" s="1">
        <v>1028</v>
      </c>
      <c r="B30" s="2" t="s">
        <v>56</v>
      </c>
      <c r="C30" s="2" t="s">
        <v>17</v>
      </c>
      <c r="D30" s="2" t="s">
        <v>22</v>
      </c>
      <c r="E30" s="1">
        <v>27</v>
      </c>
      <c r="F30" s="1">
        <v>8</v>
      </c>
      <c r="G30" s="3">
        <v>45567</v>
      </c>
    </row>
    <row r="31" spans="1:7" ht="30.75" thickBot="1" x14ac:dyDescent="0.3">
      <c r="A31" s="1">
        <v>1029</v>
      </c>
      <c r="B31" s="2" t="s">
        <v>57</v>
      </c>
      <c r="C31" s="2" t="s">
        <v>8</v>
      </c>
      <c r="D31" s="2" t="s">
        <v>9</v>
      </c>
      <c r="E31" s="1">
        <v>13</v>
      </c>
      <c r="F31" s="1">
        <v>50</v>
      </c>
      <c r="G31" s="3">
        <v>45628</v>
      </c>
    </row>
    <row r="32" spans="1:7" ht="30.75" thickBot="1" x14ac:dyDescent="0.3">
      <c r="A32" s="1">
        <v>1030</v>
      </c>
      <c r="B32" s="2" t="s">
        <v>58</v>
      </c>
      <c r="C32" s="2" t="s">
        <v>11</v>
      </c>
      <c r="D32" s="2" t="s">
        <v>12</v>
      </c>
      <c r="E32" s="1">
        <v>32</v>
      </c>
      <c r="F32" s="1">
        <v>10</v>
      </c>
      <c r="G32" s="1" t="s">
        <v>59</v>
      </c>
    </row>
    <row r="33" spans="1:7" ht="30.75" thickBot="1" x14ac:dyDescent="0.3">
      <c r="A33" s="1">
        <v>1031</v>
      </c>
      <c r="B33" s="2" t="s">
        <v>60</v>
      </c>
      <c r="C33" s="2" t="s">
        <v>14</v>
      </c>
      <c r="D33" s="2" t="s">
        <v>15</v>
      </c>
      <c r="E33" s="1">
        <v>10</v>
      </c>
      <c r="F33" s="1">
        <v>25</v>
      </c>
      <c r="G33" s="1" t="s">
        <v>61</v>
      </c>
    </row>
    <row r="34" spans="1:7" ht="30.75" thickBot="1" x14ac:dyDescent="0.3">
      <c r="A34" s="1">
        <v>1032</v>
      </c>
      <c r="B34" s="2" t="s">
        <v>62</v>
      </c>
      <c r="C34" s="2" t="s">
        <v>17</v>
      </c>
      <c r="D34" s="2" t="s">
        <v>19</v>
      </c>
      <c r="E34" s="1">
        <v>18</v>
      </c>
      <c r="F34" s="1">
        <v>5</v>
      </c>
      <c r="G34" s="1" t="s">
        <v>63</v>
      </c>
    </row>
    <row r="35" spans="1:7" ht="30.75" thickBot="1" x14ac:dyDescent="0.3">
      <c r="A35" s="1">
        <v>1033</v>
      </c>
      <c r="B35" s="2" t="s">
        <v>64</v>
      </c>
      <c r="C35" s="2" t="s">
        <v>8</v>
      </c>
      <c r="D35" s="2" t="s">
        <v>22</v>
      </c>
      <c r="E35" s="1">
        <v>22</v>
      </c>
      <c r="F35" s="1">
        <v>8</v>
      </c>
      <c r="G35" s="1" t="s">
        <v>65</v>
      </c>
    </row>
    <row r="36" spans="1:7" ht="30.75" thickBot="1" x14ac:dyDescent="0.3">
      <c r="A36" s="1">
        <v>1034</v>
      </c>
      <c r="B36" s="2" t="s">
        <v>66</v>
      </c>
      <c r="C36" s="2" t="s">
        <v>11</v>
      </c>
      <c r="D36" s="2" t="s">
        <v>9</v>
      </c>
      <c r="E36" s="1">
        <v>17</v>
      </c>
      <c r="F36" s="1">
        <v>50</v>
      </c>
      <c r="G36" s="1" t="s">
        <v>67</v>
      </c>
    </row>
    <row r="37" spans="1:7" ht="30.75" thickBot="1" x14ac:dyDescent="0.3">
      <c r="A37" s="1">
        <v>1035</v>
      </c>
      <c r="B37" s="2" t="s">
        <v>68</v>
      </c>
      <c r="C37" s="2" t="s">
        <v>14</v>
      </c>
      <c r="D37" s="2" t="s">
        <v>12</v>
      </c>
      <c r="E37" s="1">
        <v>19</v>
      </c>
      <c r="F37" s="1">
        <v>10</v>
      </c>
      <c r="G37" s="1" t="s">
        <v>69</v>
      </c>
    </row>
    <row r="38" spans="1:7" ht="30.75" thickBot="1" x14ac:dyDescent="0.3">
      <c r="A38" s="1">
        <v>1036</v>
      </c>
      <c r="B38" s="2" t="s">
        <v>70</v>
      </c>
      <c r="C38" s="2" t="s">
        <v>17</v>
      </c>
      <c r="D38" s="2" t="s">
        <v>15</v>
      </c>
      <c r="E38" s="1">
        <v>15</v>
      </c>
      <c r="F38" s="1">
        <v>25</v>
      </c>
      <c r="G38" s="1" t="s">
        <v>71</v>
      </c>
    </row>
    <row r="39" spans="1:7" ht="30.75" thickBot="1" x14ac:dyDescent="0.3">
      <c r="A39" s="1">
        <v>1037</v>
      </c>
      <c r="B39" s="2" t="s">
        <v>72</v>
      </c>
      <c r="C39" s="2" t="s">
        <v>8</v>
      </c>
      <c r="D39" s="2" t="s">
        <v>19</v>
      </c>
      <c r="E39" s="1">
        <v>28</v>
      </c>
      <c r="F39" s="1">
        <v>5</v>
      </c>
      <c r="G39" s="1" t="s">
        <v>73</v>
      </c>
    </row>
    <row r="40" spans="1:7" ht="30.75" thickBot="1" x14ac:dyDescent="0.3">
      <c r="A40" s="1">
        <v>1038</v>
      </c>
      <c r="B40" s="2" t="s">
        <v>74</v>
      </c>
      <c r="C40" s="2" t="s">
        <v>11</v>
      </c>
      <c r="D40" s="2" t="s">
        <v>22</v>
      </c>
      <c r="E40" s="1">
        <v>24</v>
      </c>
      <c r="F40" s="1">
        <v>8</v>
      </c>
      <c r="G40" s="1" t="s">
        <v>75</v>
      </c>
    </row>
    <row r="41" spans="1:7" ht="30.75" thickBot="1" x14ac:dyDescent="0.3">
      <c r="A41" s="1">
        <v>1039</v>
      </c>
      <c r="B41" s="2" t="s">
        <v>76</v>
      </c>
      <c r="C41" s="2" t="s">
        <v>14</v>
      </c>
      <c r="D41" s="2" t="s">
        <v>9</v>
      </c>
      <c r="E41" s="1">
        <v>16</v>
      </c>
      <c r="F41" s="1">
        <v>50</v>
      </c>
      <c r="G41" s="1" t="s">
        <v>77</v>
      </c>
    </row>
    <row r="42" spans="1:7" ht="30.75" thickBot="1" x14ac:dyDescent="0.3">
      <c r="A42" s="1">
        <v>1040</v>
      </c>
      <c r="B42" s="2" t="s">
        <v>78</v>
      </c>
      <c r="C42" s="2" t="s">
        <v>17</v>
      </c>
      <c r="D42" s="2" t="s">
        <v>12</v>
      </c>
      <c r="E42" s="1">
        <v>27</v>
      </c>
      <c r="F42" s="1">
        <v>10</v>
      </c>
      <c r="G42" s="1" t="s">
        <v>79</v>
      </c>
    </row>
    <row r="43" spans="1:7" ht="30.75" thickBot="1" x14ac:dyDescent="0.3">
      <c r="A43" s="1">
        <v>1041</v>
      </c>
      <c r="B43" s="2" t="s">
        <v>80</v>
      </c>
      <c r="C43" s="2" t="s">
        <v>8</v>
      </c>
      <c r="D43" s="2" t="s">
        <v>15</v>
      </c>
      <c r="E43" s="1">
        <v>21</v>
      </c>
      <c r="F43" s="1">
        <v>25</v>
      </c>
      <c r="G43" s="1" t="s">
        <v>81</v>
      </c>
    </row>
    <row r="44" spans="1:7" ht="30.75" thickBot="1" x14ac:dyDescent="0.3">
      <c r="A44" s="1">
        <v>1042</v>
      </c>
      <c r="B44" s="2" t="s">
        <v>82</v>
      </c>
      <c r="C44" s="2" t="s">
        <v>11</v>
      </c>
      <c r="D44" s="2" t="s">
        <v>19</v>
      </c>
      <c r="E44" s="1">
        <v>30</v>
      </c>
      <c r="F44" s="1">
        <v>5</v>
      </c>
      <c r="G44" s="1" t="s">
        <v>83</v>
      </c>
    </row>
    <row r="45" spans="1:7" ht="30.75" thickBot="1" x14ac:dyDescent="0.3">
      <c r="A45" s="1">
        <v>1043</v>
      </c>
      <c r="B45" s="2" t="s">
        <v>84</v>
      </c>
      <c r="C45" s="2" t="s">
        <v>14</v>
      </c>
      <c r="D45" s="2" t="s">
        <v>22</v>
      </c>
      <c r="E45" s="1">
        <v>26</v>
      </c>
      <c r="F45" s="1">
        <v>8</v>
      </c>
      <c r="G45" s="3">
        <v>45294</v>
      </c>
    </row>
    <row r="46" spans="1:7" ht="30.75" thickBot="1" x14ac:dyDescent="0.3">
      <c r="A46" s="1">
        <v>1044</v>
      </c>
      <c r="B46" s="2" t="s">
        <v>85</v>
      </c>
      <c r="C46" s="2" t="s">
        <v>17</v>
      </c>
      <c r="D46" s="2" t="s">
        <v>9</v>
      </c>
      <c r="E46" s="1">
        <v>14</v>
      </c>
      <c r="F46" s="1">
        <v>50</v>
      </c>
      <c r="G46" s="3">
        <v>45325</v>
      </c>
    </row>
    <row r="47" spans="1:7" ht="30.75" thickBot="1" x14ac:dyDescent="0.3">
      <c r="A47" s="1">
        <v>1045</v>
      </c>
      <c r="B47" s="2" t="s">
        <v>86</v>
      </c>
      <c r="C47" s="2" t="s">
        <v>8</v>
      </c>
      <c r="D47" s="2" t="s">
        <v>12</v>
      </c>
      <c r="E47" s="1">
        <v>20</v>
      </c>
      <c r="F47" s="1">
        <v>10</v>
      </c>
      <c r="G47" s="3">
        <v>45354</v>
      </c>
    </row>
    <row r="48" spans="1:7" ht="30.75" thickBot="1" x14ac:dyDescent="0.3">
      <c r="A48" s="1">
        <v>1046</v>
      </c>
      <c r="B48" s="2" t="s">
        <v>87</v>
      </c>
      <c r="C48" s="2" t="s">
        <v>11</v>
      </c>
      <c r="D48" s="2" t="s">
        <v>15</v>
      </c>
      <c r="E48" s="1">
        <v>17</v>
      </c>
      <c r="F48" s="1">
        <v>25</v>
      </c>
      <c r="G48" s="3">
        <v>45385</v>
      </c>
    </row>
    <row r="49" spans="1:7" ht="30.75" thickBot="1" x14ac:dyDescent="0.3">
      <c r="A49" s="1">
        <v>1047</v>
      </c>
      <c r="B49" s="2" t="s">
        <v>88</v>
      </c>
      <c r="C49" s="2" t="s">
        <v>14</v>
      </c>
      <c r="D49" s="2" t="s">
        <v>19</v>
      </c>
      <c r="E49" s="1">
        <v>19</v>
      </c>
      <c r="F49" s="1">
        <v>5</v>
      </c>
      <c r="G49" s="3">
        <v>45415</v>
      </c>
    </row>
    <row r="50" spans="1:7" ht="30.75" thickBot="1" x14ac:dyDescent="0.3">
      <c r="A50" s="1">
        <v>1048</v>
      </c>
      <c r="B50" s="2" t="s">
        <v>89</v>
      </c>
      <c r="C50" s="2" t="s">
        <v>17</v>
      </c>
      <c r="D50" s="2" t="s">
        <v>22</v>
      </c>
      <c r="E50" s="1">
        <v>32</v>
      </c>
      <c r="F50" s="1">
        <v>8</v>
      </c>
      <c r="G50" s="3">
        <v>45446</v>
      </c>
    </row>
    <row r="51" spans="1:7" ht="30.75" thickBot="1" x14ac:dyDescent="0.3">
      <c r="A51" s="1">
        <v>1049</v>
      </c>
      <c r="B51" s="2" t="s">
        <v>90</v>
      </c>
      <c r="C51" s="2" t="s">
        <v>8</v>
      </c>
      <c r="D51" s="2" t="s">
        <v>9</v>
      </c>
      <c r="E51" s="1">
        <v>12</v>
      </c>
      <c r="F51" s="1">
        <v>50</v>
      </c>
      <c r="G51" s="3">
        <v>45476</v>
      </c>
    </row>
    <row r="52" spans="1:7" ht="30.75" thickBot="1" x14ac:dyDescent="0.3">
      <c r="A52" s="1">
        <v>1050</v>
      </c>
      <c r="B52" s="2" t="s">
        <v>91</v>
      </c>
      <c r="C52" s="2" t="s">
        <v>11</v>
      </c>
      <c r="D52" s="2" t="s">
        <v>12</v>
      </c>
      <c r="E52" s="1">
        <v>25</v>
      </c>
      <c r="F52" s="1">
        <v>10</v>
      </c>
      <c r="G52" s="3">
        <v>45507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8B7B-CA60-4725-BB04-82DD3B1702DB}">
  <dimension ref="A1:J52"/>
  <sheetViews>
    <sheetView topLeftCell="A2" workbookViewId="0">
      <selection activeCell="J8" sqref="J8"/>
    </sheetView>
  </sheetViews>
  <sheetFormatPr defaultRowHeight="15" x14ac:dyDescent="0.25"/>
  <cols>
    <col min="1" max="1" width="8.42578125" customWidth="1"/>
    <col min="2" max="2" width="14.5703125" bestFit="1" customWidth="1"/>
    <col min="3" max="3" width="7.140625" bestFit="1" customWidth="1"/>
    <col min="4" max="4" width="8.85546875" bestFit="1" customWidth="1"/>
    <col min="5" max="5" width="8.7109375" bestFit="1" customWidth="1"/>
    <col min="6" max="6" width="14.42578125" customWidth="1"/>
    <col min="7" max="8" width="14.85546875" customWidth="1"/>
    <col min="9" max="9" width="15" customWidth="1"/>
    <col min="10" max="10" width="20.7109375" customWidth="1"/>
  </cols>
  <sheetData>
    <row r="1" spans="1:10" s="9" customFormat="1" ht="29.25" thickBot="1" x14ac:dyDescent="0.5">
      <c r="A1" s="9" t="s">
        <v>116</v>
      </c>
    </row>
    <row r="2" spans="1:10" ht="30.75" thickBo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14" t="s">
        <v>6</v>
      </c>
      <c r="H2" s="39"/>
      <c r="I2" s="37" t="s">
        <v>92</v>
      </c>
      <c r="J2" s="28"/>
    </row>
    <row r="3" spans="1:10" ht="30.75" thickBot="1" x14ac:dyDescent="0.3">
      <c r="A3" s="1">
        <v>1001</v>
      </c>
      <c r="B3" s="2" t="s">
        <v>7</v>
      </c>
      <c r="C3" s="2" t="s">
        <v>8</v>
      </c>
      <c r="D3" s="2" t="s">
        <v>9</v>
      </c>
      <c r="E3" s="1">
        <v>10</v>
      </c>
      <c r="F3" s="1">
        <v>50</v>
      </c>
      <c r="G3" s="3">
        <v>45413</v>
      </c>
      <c r="H3" s="34"/>
      <c r="I3" s="38">
        <f>E3*F3</f>
        <v>500</v>
      </c>
      <c r="J3" s="4"/>
    </row>
    <row r="4" spans="1:10" ht="15.75" thickBot="1" x14ac:dyDescent="0.3">
      <c r="A4" s="1">
        <v>1002</v>
      </c>
      <c r="B4" s="2" t="s">
        <v>10</v>
      </c>
      <c r="C4" s="2" t="s">
        <v>11</v>
      </c>
      <c r="D4" s="2" t="s">
        <v>12</v>
      </c>
      <c r="E4" s="1">
        <v>20</v>
      </c>
      <c r="F4" s="1">
        <v>10</v>
      </c>
      <c r="G4" s="3">
        <v>45444</v>
      </c>
      <c r="H4" s="34"/>
      <c r="I4" s="38">
        <f>E4*F4</f>
        <v>200</v>
      </c>
    </row>
    <row r="5" spans="1:10" ht="15.75" thickBot="1" x14ac:dyDescent="0.3">
      <c r="A5" s="1">
        <v>1003</v>
      </c>
      <c r="B5" s="2" t="s">
        <v>13</v>
      </c>
      <c r="C5" s="2" t="s">
        <v>14</v>
      </c>
      <c r="D5" s="2" t="s">
        <v>15</v>
      </c>
      <c r="E5" s="1">
        <v>15</v>
      </c>
      <c r="F5" s="1">
        <v>25</v>
      </c>
      <c r="G5" s="3">
        <v>45474</v>
      </c>
      <c r="H5" s="34"/>
      <c r="I5" s="38">
        <f t="shared" ref="I5:I52" si="0">E5*F5</f>
        <v>375</v>
      </c>
    </row>
    <row r="6" spans="1:10" ht="30.75" thickBot="1" x14ac:dyDescent="0.3">
      <c r="A6" s="1">
        <v>1004</v>
      </c>
      <c r="B6" s="2" t="s">
        <v>16</v>
      </c>
      <c r="C6" s="2" t="s">
        <v>17</v>
      </c>
      <c r="D6" s="2" t="s">
        <v>9</v>
      </c>
      <c r="E6" s="1">
        <v>5</v>
      </c>
      <c r="F6" s="1">
        <v>50</v>
      </c>
      <c r="G6" s="3">
        <v>45505</v>
      </c>
      <c r="H6" s="34"/>
      <c r="I6" s="38">
        <f t="shared" si="0"/>
        <v>250</v>
      </c>
      <c r="J6" s="36" t="s">
        <v>115</v>
      </c>
    </row>
    <row r="7" spans="1:10" ht="15.75" thickBot="1" x14ac:dyDescent="0.3">
      <c r="A7" s="1">
        <v>1005</v>
      </c>
      <c r="B7" s="2" t="s">
        <v>18</v>
      </c>
      <c r="C7" s="2" t="s">
        <v>8</v>
      </c>
      <c r="D7" s="2" t="s">
        <v>19</v>
      </c>
      <c r="E7" s="1">
        <v>30</v>
      </c>
      <c r="F7" s="1">
        <v>5</v>
      </c>
      <c r="G7" s="3">
        <v>45566</v>
      </c>
      <c r="H7" s="34"/>
      <c r="I7" s="38">
        <f t="shared" si="0"/>
        <v>150</v>
      </c>
    </row>
    <row r="8" spans="1:10" ht="30.75" thickBot="1" x14ac:dyDescent="0.3">
      <c r="A8" s="1">
        <v>1006</v>
      </c>
      <c r="B8" s="2" t="s">
        <v>20</v>
      </c>
      <c r="C8" s="2" t="s">
        <v>11</v>
      </c>
      <c r="D8" s="2" t="s">
        <v>9</v>
      </c>
      <c r="E8" s="1">
        <v>12</v>
      </c>
      <c r="F8" s="1">
        <v>50</v>
      </c>
      <c r="G8" s="3">
        <v>45597</v>
      </c>
      <c r="H8" s="34"/>
      <c r="I8" s="38">
        <f t="shared" si="0"/>
        <v>600</v>
      </c>
    </row>
    <row r="9" spans="1:10" ht="15.75" thickBot="1" x14ac:dyDescent="0.3">
      <c r="A9" s="1">
        <v>1007</v>
      </c>
      <c r="B9" s="2" t="s">
        <v>21</v>
      </c>
      <c r="C9" s="2" t="s">
        <v>14</v>
      </c>
      <c r="D9" s="2" t="s">
        <v>22</v>
      </c>
      <c r="E9" s="1">
        <v>25</v>
      </c>
      <c r="F9" s="1">
        <v>8</v>
      </c>
      <c r="G9" s="1" t="s">
        <v>23</v>
      </c>
      <c r="H9" s="35"/>
      <c r="I9" s="38">
        <f t="shared" si="0"/>
        <v>200</v>
      </c>
    </row>
    <row r="10" spans="1:10" ht="15.75" thickBot="1" x14ac:dyDescent="0.3">
      <c r="A10" s="1">
        <v>1008</v>
      </c>
      <c r="B10" s="2" t="s">
        <v>24</v>
      </c>
      <c r="C10" s="2" t="s">
        <v>17</v>
      </c>
      <c r="D10" s="2" t="s">
        <v>12</v>
      </c>
      <c r="E10" s="1">
        <v>18</v>
      </c>
      <c r="F10" s="1">
        <v>10</v>
      </c>
      <c r="G10" s="1" t="s">
        <v>25</v>
      </c>
      <c r="H10" s="35"/>
      <c r="I10" s="38">
        <f t="shared" si="0"/>
        <v>180</v>
      </c>
    </row>
    <row r="11" spans="1:10" ht="15.75" thickBot="1" x14ac:dyDescent="0.3">
      <c r="A11" s="1">
        <v>1009</v>
      </c>
      <c r="B11" s="2" t="s">
        <v>26</v>
      </c>
      <c r="C11" s="2" t="s">
        <v>8</v>
      </c>
      <c r="D11" s="2" t="s">
        <v>15</v>
      </c>
      <c r="E11" s="1">
        <v>22</v>
      </c>
      <c r="F11" s="1">
        <v>25</v>
      </c>
      <c r="G11" s="1" t="s">
        <v>27</v>
      </c>
      <c r="H11" s="35"/>
      <c r="I11" s="38">
        <f t="shared" si="0"/>
        <v>550</v>
      </c>
    </row>
    <row r="12" spans="1:10" ht="30.75" thickBot="1" x14ac:dyDescent="0.3">
      <c r="A12" s="1">
        <v>1010</v>
      </c>
      <c r="B12" s="2" t="s">
        <v>28</v>
      </c>
      <c r="C12" s="2" t="s">
        <v>11</v>
      </c>
      <c r="D12" s="2" t="s">
        <v>9</v>
      </c>
      <c r="E12" s="1">
        <v>8</v>
      </c>
      <c r="F12" s="1">
        <v>50</v>
      </c>
      <c r="G12" s="1" t="s">
        <v>29</v>
      </c>
      <c r="H12" s="35"/>
      <c r="I12" s="38">
        <f t="shared" si="0"/>
        <v>400</v>
      </c>
    </row>
    <row r="13" spans="1:10" ht="15.75" thickBot="1" x14ac:dyDescent="0.3">
      <c r="A13" s="1">
        <v>1011</v>
      </c>
      <c r="B13" s="2" t="s">
        <v>30</v>
      </c>
      <c r="C13" s="2" t="s">
        <v>14</v>
      </c>
      <c r="D13" s="2" t="s">
        <v>19</v>
      </c>
      <c r="E13" s="1">
        <v>40</v>
      </c>
      <c r="F13" s="1">
        <v>5</v>
      </c>
      <c r="G13" s="1" t="s">
        <v>31</v>
      </c>
      <c r="H13" s="35"/>
      <c r="I13" s="38">
        <f t="shared" si="0"/>
        <v>200</v>
      </c>
    </row>
    <row r="14" spans="1:10" ht="15.75" thickBot="1" x14ac:dyDescent="0.3">
      <c r="A14" s="1">
        <v>1012</v>
      </c>
      <c r="B14" s="2" t="s">
        <v>32</v>
      </c>
      <c r="C14" s="2" t="s">
        <v>17</v>
      </c>
      <c r="D14" s="2" t="s">
        <v>22</v>
      </c>
      <c r="E14" s="1">
        <v>35</v>
      </c>
      <c r="F14" s="1">
        <v>8</v>
      </c>
      <c r="G14" s="1" t="s">
        <v>33</v>
      </c>
      <c r="H14" s="35"/>
      <c r="I14" s="38">
        <f t="shared" si="0"/>
        <v>280</v>
      </c>
    </row>
    <row r="15" spans="1:10" ht="30.75" thickBot="1" x14ac:dyDescent="0.3">
      <c r="A15" s="1">
        <v>1013</v>
      </c>
      <c r="B15" s="2" t="s">
        <v>34</v>
      </c>
      <c r="C15" s="2" t="s">
        <v>8</v>
      </c>
      <c r="D15" s="2" t="s">
        <v>9</v>
      </c>
      <c r="E15" s="1">
        <v>14</v>
      </c>
      <c r="F15" s="1">
        <v>50</v>
      </c>
      <c r="G15" s="1" t="s">
        <v>35</v>
      </c>
      <c r="H15" s="35"/>
      <c r="I15" s="38">
        <f t="shared" si="0"/>
        <v>700</v>
      </c>
    </row>
    <row r="16" spans="1:10" ht="15.75" thickBot="1" x14ac:dyDescent="0.3">
      <c r="A16" s="1">
        <v>1014</v>
      </c>
      <c r="B16" s="2" t="s">
        <v>36</v>
      </c>
      <c r="C16" s="2" t="s">
        <v>11</v>
      </c>
      <c r="D16" s="2" t="s">
        <v>12</v>
      </c>
      <c r="E16" s="1">
        <v>28</v>
      </c>
      <c r="F16" s="1">
        <v>10</v>
      </c>
      <c r="G16" s="1" t="s">
        <v>37</v>
      </c>
      <c r="H16" s="35"/>
      <c r="I16" s="38">
        <f t="shared" si="0"/>
        <v>280</v>
      </c>
    </row>
    <row r="17" spans="1:9" ht="15.75" thickBot="1" x14ac:dyDescent="0.3">
      <c r="A17" s="1">
        <v>1015</v>
      </c>
      <c r="B17" s="2" t="s">
        <v>38</v>
      </c>
      <c r="C17" s="2" t="s">
        <v>14</v>
      </c>
      <c r="D17" s="2" t="s">
        <v>15</v>
      </c>
      <c r="E17" s="1">
        <v>12</v>
      </c>
      <c r="F17" s="1">
        <v>25</v>
      </c>
      <c r="G17" s="1" t="s">
        <v>39</v>
      </c>
      <c r="H17" s="35"/>
      <c r="I17" s="38">
        <f t="shared" si="0"/>
        <v>300</v>
      </c>
    </row>
    <row r="18" spans="1:9" ht="15.75" thickBot="1" x14ac:dyDescent="0.3">
      <c r="A18" s="1">
        <v>1016</v>
      </c>
      <c r="B18" s="2" t="s">
        <v>40</v>
      </c>
      <c r="C18" s="2" t="s">
        <v>17</v>
      </c>
      <c r="D18" s="2" t="s">
        <v>19</v>
      </c>
      <c r="E18" s="1">
        <v>25</v>
      </c>
      <c r="F18" s="1">
        <v>5</v>
      </c>
      <c r="G18" s="1" t="s">
        <v>41</v>
      </c>
      <c r="H18" s="35"/>
      <c r="I18" s="38">
        <f t="shared" si="0"/>
        <v>125</v>
      </c>
    </row>
    <row r="19" spans="1:9" ht="15.75" thickBot="1" x14ac:dyDescent="0.3">
      <c r="A19" s="1">
        <v>1017</v>
      </c>
      <c r="B19" s="2" t="s">
        <v>42</v>
      </c>
      <c r="C19" s="2" t="s">
        <v>8</v>
      </c>
      <c r="D19" s="2" t="s">
        <v>22</v>
      </c>
      <c r="E19" s="1">
        <v>20</v>
      </c>
      <c r="F19" s="1">
        <v>8</v>
      </c>
      <c r="G19" s="1" t="s">
        <v>43</v>
      </c>
      <c r="H19" s="35"/>
      <c r="I19" s="38">
        <f t="shared" si="0"/>
        <v>160</v>
      </c>
    </row>
    <row r="20" spans="1:9" ht="30.75" thickBot="1" x14ac:dyDescent="0.3">
      <c r="A20" s="1">
        <v>1018</v>
      </c>
      <c r="B20" s="2" t="s">
        <v>44</v>
      </c>
      <c r="C20" s="2" t="s">
        <v>11</v>
      </c>
      <c r="D20" s="2" t="s">
        <v>9</v>
      </c>
      <c r="E20" s="1">
        <v>10</v>
      </c>
      <c r="F20" s="1">
        <v>50</v>
      </c>
      <c r="G20" s="1" t="s">
        <v>45</v>
      </c>
      <c r="H20" s="35"/>
      <c r="I20" s="38">
        <f t="shared" si="0"/>
        <v>500</v>
      </c>
    </row>
    <row r="21" spans="1:9" ht="15.75" thickBot="1" x14ac:dyDescent="0.3">
      <c r="A21" s="1">
        <v>1019</v>
      </c>
      <c r="B21" s="2" t="s">
        <v>46</v>
      </c>
      <c r="C21" s="2" t="s">
        <v>14</v>
      </c>
      <c r="D21" s="2" t="s">
        <v>12</v>
      </c>
      <c r="E21" s="1">
        <v>15</v>
      </c>
      <c r="F21" s="1">
        <v>10</v>
      </c>
      <c r="G21" s="1" t="s">
        <v>47</v>
      </c>
      <c r="H21" s="35"/>
      <c r="I21" s="38">
        <f t="shared" si="0"/>
        <v>150</v>
      </c>
    </row>
    <row r="22" spans="1:9" ht="15.75" thickBot="1" x14ac:dyDescent="0.3">
      <c r="A22" s="1">
        <v>1020</v>
      </c>
      <c r="B22" s="2" t="s">
        <v>48</v>
      </c>
      <c r="C22" s="2" t="s">
        <v>17</v>
      </c>
      <c r="D22" s="2" t="s">
        <v>15</v>
      </c>
      <c r="E22" s="1">
        <v>18</v>
      </c>
      <c r="F22" s="1">
        <v>25</v>
      </c>
      <c r="G22" s="3">
        <v>45293</v>
      </c>
      <c r="H22" s="34"/>
      <c r="I22" s="38">
        <f t="shared" si="0"/>
        <v>450</v>
      </c>
    </row>
    <row r="23" spans="1:9" ht="30.75" thickBot="1" x14ac:dyDescent="0.3">
      <c r="A23" s="1">
        <v>1021</v>
      </c>
      <c r="B23" s="2" t="s">
        <v>49</v>
      </c>
      <c r="C23" s="2" t="s">
        <v>8</v>
      </c>
      <c r="D23" s="2" t="s">
        <v>9</v>
      </c>
      <c r="E23" s="1">
        <v>9</v>
      </c>
      <c r="F23" s="1">
        <v>50</v>
      </c>
      <c r="G23" s="3">
        <v>45324</v>
      </c>
      <c r="H23" s="34"/>
      <c r="I23" s="38">
        <f t="shared" si="0"/>
        <v>450</v>
      </c>
    </row>
    <row r="24" spans="1:9" ht="15.75" thickBot="1" x14ac:dyDescent="0.3">
      <c r="A24" s="1">
        <v>1022</v>
      </c>
      <c r="B24" s="2" t="s">
        <v>50</v>
      </c>
      <c r="C24" s="2" t="s">
        <v>11</v>
      </c>
      <c r="D24" s="2" t="s">
        <v>19</v>
      </c>
      <c r="E24" s="1">
        <v>35</v>
      </c>
      <c r="F24" s="1">
        <v>5</v>
      </c>
      <c r="G24" s="3">
        <v>45353</v>
      </c>
      <c r="H24" s="34"/>
      <c r="I24" s="38">
        <f t="shared" si="0"/>
        <v>175</v>
      </c>
    </row>
    <row r="25" spans="1:9" ht="15.75" thickBot="1" x14ac:dyDescent="0.3">
      <c r="A25" s="1">
        <v>1023</v>
      </c>
      <c r="B25" s="2" t="s">
        <v>51</v>
      </c>
      <c r="C25" s="2" t="s">
        <v>14</v>
      </c>
      <c r="D25" s="2" t="s">
        <v>22</v>
      </c>
      <c r="E25" s="1">
        <v>30</v>
      </c>
      <c r="F25" s="1">
        <v>8</v>
      </c>
      <c r="G25" s="3">
        <v>45384</v>
      </c>
      <c r="H25" s="34"/>
      <c r="I25" s="38">
        <f t="shared" si="0"/>
        <v>240</v>
      </c>
    </row>
    <row r="26" spans="1:9" ht="30.75" thickBot="1" x14ac:dyDescent="0.3">
      <c r="A26" s="1">
        <v>1024</v>
      </c>
      <c r="B26" s="2" t="s">
        <v>52</v>
      </c>
      <c r="C26" s="2" t="s">
        <v>17</v>
      </c>
      <c r="D26" s="2" t="s">
        <v>9</v>
      </c>
      <c r="E26" s="1">
        <v>11</v>
      </c>
      <c r="F26" s="1">
        <v>50</v>
      </c>
      <c r="G26" s="3">
        <v>45445</v>
      </c>
      <c r="H26" s="34"/>
      <c r="I26" s="38">
        <f t="shared" si="0"/>
        <v>550</v>
      </c>
    </row>
    <row r="27" spans="1:9" ht="15.75" thickBot="1" x14ac:dyDescent="0.3">
      <c r="A27" s="1">
        <v>1025</v>
      </c>
      <c r="B27" s="2" t="s">
        <v>53</v>
      </c>
      <c r="C27" s="2" t="s">
        <v>8</v>
      </c>
      <c r="D27" s="2" t="s">
        <v>12</v>
      </c>
      <c r="E27" s="1">
        <v>14</v>
      </c>
      <c r="F27" s="1">
        <v>10</v>
      </c>
      <c r="G27" s="3">
        <v>45475</v>
      </c>
      <c r="H27" s="34"/>
      <c r="I27" s="38">
        <f t="shared" si="0"/>
        <v>140</v>
      </c>
    </row>
    <row r="28" spans="1:9" ht="15.75" thickBot="1" x14ac:dyDescent="0.3">
      <c r="A28" s="1">
        <v>1026</v>
      </c>
      <c r="B28" s="2" t="s">
        <v>54</v>
      </c>
      <c r="C28" s="2" t="s">
        <v>11</v>
      </c>
      <c r="D28" s="2" t="s">
        <v>15</v>
      </c>
      <c r="E28" s="1">
        <v>16</v>
      </c>
      <c r="F28" s="1">
        <v>25</v>
      </c>
      <c r="G28" s="3">
        <v>45506</v>
      </c>
      <c r="H28" s="34"/>
      <c r="I28" s="38">
        <f t="shared" si="0"/>
        <v>400</v>
      </c>
    </row>
    <row r="29" spans="1:9" ht="15.75" thickBot="1" x14ac:dyDescent="0.3">
      <c r="A29" s="1">
        <v>1027</v>
      </c>
      <c r="B29" s="2" t="s">
        <v>55</v>
      </c>
      <c r="C29" s="2" t="s">
        <v>14</v>
      </c>
      <c r="D29" s="2" t="s">
        <v>19</v>
      </c>
      <c r="E29" s="1">
        <v>22</v>
      </c>
      <c r="F29" s="1">
        <v>5</v>
      </c>
      <c r="G29" s="3">
        <v>45537</v>
      </c>
      <c r="H29" s="34"/>
      <c r="I29" s="38">
        <f t="shared" si="0"/>
        <v>110</v>
      </c>
    </row>
    <row r="30" spans="1:9" ht="15.75" thickBot="1" x14ac:dyDescent="0.3">
      <c r="A30" s="1">
        <v>1028</v>
      </c>
      <c r="B30" s="2" t="s">
        <v>56</v>
      </c>
      <c r="C30" s="2" t="s">
        <v>17</v>
      </c>
      <c r="D30" s="2" t="s">
        <v>22</v>
      </c>
      <c r="E30" s="1">
        <v>27</v>
      </c>
      <c r="F30" s="1">
        <v>8</v>
      </c>
      <c r="G30" s="3">
        <v>45567</v>
      </c>
      <c r="H30" s="34"/>
      <c r="I30" s="38">
        <f t="shared" si="0"/>
        <v>216</v>
      </c>
    </row>
    <row r="31" spans="1:9" ht="30.75" thickBot="1" x14ac:dyDescent="0.3">
      <c r="A31" s="1">
        <v>1029</v>
      </c>
      <c r="B31" s="2" t="s">
        <v>57</v>
      </c>
      <c r="C31" s="2" t="s">
        <v>8</v>
      </c>
      <c r="D31" s="2" t="s">
        <v>9</v>
      </c>
      <c r="E31" s="1">
        <v>13</v>
      </c>
      <c r="F31" s="1">
        <v>50</v>
      </c>
      <c r="G31" s="3">
        <v>45628</v>
      </c>
      <c r="H31" s="34"/>
      <c r="I31" s="38">
        <f t="shared" si="0"/>
        <v>650</v>
      </c>
    </row>
    <row r="32" spans="1:9" ht="15.75" thickBot="1" x14ac:dyDescent="0.3">
      <c r="A32" s="1">
        <v>1030</v>
      </c>
      <c r="B32" s="2" t="s">
        <v>58</v>
      </c>
      <c r="C32" s="2" t="s">
        <v>11</v>
      </c>
      <c r="D32" s="2" t="s">
        <v>12</v>
      </c>
      <c r="E32" s="1">
        <v>32</v>
      </c>
      <c r="F32" s="1">
        <v>10</v>
      </c>
      <c r="G32" s="1" t="s">
        <v>59</v>
      </c>
      <c r="H32" s="35"/>
      <c r="I32" s="38">
        <f t="shared" si="0"/>
        <v>320</v>
      </c>
    </row>
    <row r="33" spans="1:9" ht="15.75" thickBot="1" x14ac:dyDescent="0.3">
      <c r="A33" s="1">
        <v>1031</v>
      </c>
      <c r="B33" s="2" t="s">
        <v>60</v>
      </c>
      <c r="C33" s="2" t="s">
        <v>14</v>
      </c>
      <c r="D33" s="2" t="s">
        <v>15</v>
      </c>
      <c r="E33" s="1">
        <v>10</v>
      </c>
      <c r="F33" s="1">
        <v>25</v>
      </c>
      <c r="G33" s="1" t="s">
        <v>61</v>
      </c>
      <c r="H33" s="35"/>
      <c r="I33" s="38">
        <f t="shared" si="0"/>
        <v>250</v>
      </c>
    </row>
    <row r="34" spans="1:9" ht="15.75" thickBot="1" x14ac:dyDescent="0.3">
      <c r="A34" s="1">
        <v>1032</v>
      </c>
      <c r="B34" s="2" t="s">
        <v>62</v>
      </c>
      <c r="C34" s="2" t="s">
        <v>17</v>
      </c>
      <c r="D34" s="2" t="s">
        <v>19</v>
      </c>
      <c r="E34" s="1">
        <v>18</v>
      </c>
      <c r="F34" s="1">
        <v>5</v>
      </c>
      <c r="G34" s="1" t="s">
        <v>63</v>
      </c>
      <c r="H34" s="35"/>
      <c r="I34" s="38">
        <f t="shared" si="0"/>
        <v>90</v>
      </c>
    </row>
    <row r="35" spans="1:9" ht="15.75" thickBot="1" x14ac:dyDescent="0.3">
      <c r="A35" s="1">
        <v>1033</v>
      </c>
      <c r="B35" s="2" t="s">
        <v>64</v>
      </c>
      <c r="C35" s="2" t="s">
        <v>8</v>
      </c>
      <c r="D35" s="2" t="s">
        <v>22</v>
      </c>
      <c r="E35" s="1">
        <v>22</v>
      </c>
      <c r="F35" s="1">
        <v>8</v>
      </c>
      <c r="G35" s="1" t="s">
        <v>65</v>
      </c>
      <c r="H35" s="35"/>
      <c r="I35" s="38">
        <f t="shared" si="0"/>
        <v>176</v>
      </c>
    </row>
    <row r="36" spans="1:9" ht="30.75" thickBot="1" x14ac:dyDescent="0.3">
      <c r="A36" s="1">
        <v>1034</v>
      </c>
      <c r="B36" s="2" t="s">
        <v>66</v>
      </c>
      <c r="C36" s="2" t="s">
        <v>11</v>
      </c>
      <c r="D36" s="2" t="s">
        <v>9</v>
      </c>
      <c r="E36" s="1">
        <v>17</v>
      </c>
      <c r="F36" s="1">
        <v>50</v>
      </c>
      <c r="G36" s="1" t="s">
        <v>67</v>
      </c>
      <c r="H36" s="35"/>
      <c r="I36" s="38">
        <f t="shared" si="0"/>
        <v>850</v>
      </c>
    </row>
    <row r="37" spans="1:9" ht="15.75" thickBot="1" x14ac:dyDescent="0.3">
      <c r="A37" s="1">
        <v>1035</v>
      </c>
      <c r="B37" s="2" t="s">
        <v>68</v>
      </c>
      <c r="C37" s="2" t="s">
        <v>14</v>
      </c>
      <c r="D37" s="2" t="s">
        <v>12</v>
      </c>
      <c r="E37" s="1">
        <v>19</v>
      </c>
      <c r="F37" s="1">
        <v>10</v>
      </c>
      <c r="G37" s="1" t="s">
        <v>69</v>
      </c>
      <c r="H37" s="35"/>
      <c r="I37" s="38">
        <f t="shared" si="0"/>
        <v>190</v>
      </c>
    </row>
    <row r="38" spans="1:9" ht="15.75" thickBot="1" x14ac:dyDescent="0.3">
      <c r="A38" s="1">
        <v>1036</v>
      </c>
      <c r="B38" s="2" t="s">
        <v>70</v>
      </c>
      <c r="C38" s="2" t="s">
        <v>17</v>
      </c>
      <c r="D38" s="2" t="s">
        <v>15</v>
      </c>
      <c r="E38" s="1">
        <v>15</v>
      </c>
      <c r="F38" s="1">
        <v>25</v>
      </c>
      <c r="G38" s="1" t="s">
        <v>71</v>
      </c>
      <c r="H38" s="35"/>
      <c r="I38" s="38">
        <f t="shared" si="0"/>
        <v>375</v>
      </c>
    </row>
    <row r="39" spans="1:9" ht="15.75" thickBot="1" x14ac:dyDescent="0.3">
      <c r="A39" s="1">
        <v>1037</v>
      </c>
      <c r="B39" s="2" t="s">
        <v>72</v>
      </c>
      <c r="C39" s="2" t="s">
        <v>8</v>
      </c>
      <c r="D39" s="2" t="s">
        <v>19</v>
      </c>
      <c r="E39" s="1">
        <v>28</v>
      </c>
      <c r="F39" s="1">
        <v>5</v>
      </c>
      <c r="G39" s="1" t="s">
        <v>73</v>
      </c>
      <c r="H39" s="35"/>
      <c r="I39" s="38">
        <f t="shared" si="0"/>
        <v>140</v>
      </c>
    </row>
    <row r="40" spans="1:9" ht="15.75" thickBot="1" x14ac:dyDescent="0.3">
      <c r="A40" s="1">
        <v>1038</v>
      </c>
      <c r="B40" s="2" t="s">
        <v>74</v>
      </c>
      <c r="C40" s="2" t="s">
        <v>11</v>
      </c>
      <c r="D40" s="2" t="s">
        <v>22</v>
      </c>
      <c r="E40" s="1">
        <v>24</v>
      </c>
      <c r="F40" s="1">
        <v>8</v>
      </c>
      <c r="G40" s="1" t="s">
        <v>75</v>
      </c>
      <c r="H40" s="35"/>
      <c r="I40" s="38">
        <f t="shared" si="0"/>
        <v>192</v>
      </c>
    </row>
    <row r="41" spans="1:9" ht="30.75" thickBot="1" x14ac:dyDescent="0.3">
      <c r="A41" s="1">
        <v>1039</v>
      </c>
      <c r="B41" s="2" t="s">
        <v>76</v>
      </c>
      <c r="C41" s="2" t="s">
        <v>14</v>
      </c>
      <c r="D41" s="2" t="s">
        <v>9</v>
      </c>
      <c r="E41" s="1">
        <v>16</v>
      </c>
      <c r="F41" s="1">
        <v>50</v>
      </c>
      <c r="G41" s="1" t="s">
        <v>77</v>
      </c>
      <c r="H41" s="35"/>
      <c r="I41" s="38">
        <f t="shared" si="0"/>
        <v>800</v>
      </c>
    </row>
    <row r="42" spans="1:9" ht="15.75" thickBot="1" x14ac:dyDescent="0.3">
      <c r="A42" s="1">
        <v>1040</v>
      </c>
      <c r="B42" s="2" t="s">
        <v>78</v>
      </c>
      <c r="C42" s="2" t="s">
        <v>17</v>
      </c>
      <c r="D42" s="2" t="s">
        <v>12</v>
      </c>
      <c r="E42" s="1">
        <v>27</v>
      </c>
      <c r="F42" s="1">
        <v>10</v>
      </c>
      <c r="G42" s="1" t="s">
        <v>79</v>
      </c>
      <c r="H42" s="35"/>
      <c r="I42" s="38">
        <f t="shared" si="0"/>
        <v>270</v>
      </c>
    </row>
    <row r="43" spans="1:9" ht="15.75" thickBot="1" x14ac:dyDescent="0.3">
      <c r="A43" s="1">
        <v>1041</v>
      </c>
      <c r="B43" s="2" t="s">
        <v>80</v>
      </c>
      <c r="C43" s="2" t="s">
        <v>8</v>
      </c>
      <c r="D43" s="2" t="s">
        <v>15</v>
      </c>
      <c r="E43" s="1">
        <v>21</v>
      </c>
      <c r="F43" s="1">
        <v>25</v>
      </c>
      <c r="G43" s="1" t="s">
        <v>81</v>
      </c>
      <c r="H43" s="35"/>
      <c r="I43" s="38">
        <f t="shared" si="0"/>
        <v>525</v>
      </c>
    </row>
    <row r="44" spans="1:9" ht="15.75" thickBot="1" x14ac:dyDescent="0.3">
      <c r="A44" s="1">
        <v>1042</v>
      </c>
      <c r="B44" s="2" t="s">
        <v>82</v>
      </c>
      <c r="C44" s="2" t="s">
        <v>11</v>
      </c>
      <c r="D44" s="2" t="s">
        <v>19</v>
      </c>
      <c r="E44" s="1">
        <v>30</v>
      </c>
      <c r="F44" s="1">
        <v>5</v>
      </c>
      <c r="G44" s="1" t="s">
        <v>83</v>
      </c>
      <c r="H44" s="35"/>
      <c r="I44" s="38">
        <f t="shared" si="0"/>
        <v>150</v>
      </c>
    </row>
    <row r="45" spans="1:9" ht="15.75" thickBot="1" x14ac:dyDescent="0.3">
      <c r="A45" s="1">
        <v>1043</v>
      </c>
      <c r="B45" s="2" t="s">
        <v>84</v>
      </c>
      <c r="C45" s="2" t="s">
        <v>14</v>
      </c>
      <c r="D45" s="2" t="s">
        <v>22</v>
      </c>
      <c r="E45" s="1">
        <v>26</v>
      </c>
      <c r="F45" s="1">
        <v>8</v>
      </c>
      <c r="G45" s="3">
        <v>45294</v>
      </c>
      <c r="H45" s="34"/>
      <c r="I45" s="38">
        <f t="shared" si="0"/>
        <v>208</v>
      </c>
    </row>
    <row r="46" spans="1:9" ht="30.75" thickBot="1" x14ac:dyDescent="0.3">
      <c r="A46" s="1">
        <v>1044</v>
      </c>
      <c r="B46" s="2" t="s">
        <v>85</v>
      </c>
      <c r="C46" s="2" t="s">
        <v>17</v>
      </c>
      <c r="D46" s="2" t="s">
        <v>9</v>
      </c>
      <c r="E46" s="1">
        <v>14</v>
      </c>
      <c r="F46" s="1">
        <v>50</v>
      </c>
      <c r="G46" s="3">
        <v>45325</v>
      </c>
      <c r="H46" s="34"/>
      <c r="I46" s="38">
        <f t="shared" si="0"/>
        <v>700</v>
      </c>
    </row>
    <row r="47" spans="1:9" ht="15.75" thickBot="1" x14ac:dyDescent="0.3">
      <c r="A47" s="1">
        <v>1045</v>
      </c>
      <c r="B47" s="2" t="s">
        <v>86</v>
      </c>
      <c r="C47" s="2" t="s">
        <v>8</v>
      </c>
      <c r="D47" s="2" t="s">
        <v>12</v>
      </c>
      <c r="E47" s="1">
        <v>20</v>
      </c>
      <c r="F47" s="1">
        <v>10</v>
      </c>
      <c r="G47" s="3">
        <v>45354</v>
      </c>
      <c r="H47" s="34"/>
      <c r="I47" s="38">
        <f t="shared" si="0"/>
        <v>200</v>
      </c>
    </row>
    <row r="48" spans="1:9" ht="15.75" thickBot="1" x14ac:dyDescent="0.3">
      <c r="A48" s="1">
        <v>1046</v>
      </c>
      <c r="B48" s="2" t="s">
        <v>87</v>
      </c>
      <c r="C48" s="2" t="s">
        <v>11</v>
      </c>
      <c r="D48" s="2" t="s">
        <v>15</v>
      </c>
      <c r="E48" s="1">
        <v>17</v>
      </c>
      <c r="F48" s="1">
        <v>25</v>
      </c>
      <c r="G48" s="3">
        <v>45385</v>
      </c>
      <c r="H48" s="34"/>
      <c r="I48" s="38">
        <f t="shared" si="0"/>
        <v>425</v>
      </c>
    </row>
    <row r="49" spans="1:9" ht="15.75" thickBot="1" x14ac:dyDescent="0.3">
      <c r="A49" s="1">
        <v>1047</v>
      </c>
      <c r="B49" s="2" t="s">
        <v>88</v>
      </c>
      <c r="C49" s="2" t="s">
        <v>14</v>
      </c>
      <c r="D49" s="2" t="s">
        <v>19</v>
      </c>
      <c r="E49" s="1">
        <v>19</v>
      </c>
      <c r="F49" s="1">
        <v>5</v>
      </c>
      <c r="G49" s="3">
        <v>45415</v>
      </c>
      <c r="H49" s="34"/>
      <c r="I49" s="38">
        <f t="shared" si="0"/>
        <v>95</v>
      </c>
    </row>
    <row r="50" spans="1:9" ht="15.75" thickBot="1" x14ac:dyDescent="0.3">
      <c r="A50" s="1">
        <v>1048</v>
      </c>
      <c r="B50" s="2" t="s">
        <v>89</v>
      </c>
      <c r="C50" s="2" t="s">
        <v>17</v>
      </c>
      <c r="D50" s="2" t="s">
        <v>22</v>
      </c>
      <c r="E50" s="1">
        <v>32</v>
      </c>
      <c r="F50" s="1">
        <v>8</v>
      </c>
      <c r="G50" s="3">
        <v>45446</v>
      </c>
      <c r="H50" s="34"/>
      <c r="I50" s="38">
        <f t="shared" si="0"/>
        <v>256</v>
      </c>
    </row>
    <row r="51" spans="1:9" ht="30.75" thickBot="1" x14ac:dyDescent="0.3">
      <c r="A51" s="1">
        <v>1049</v>
      </c>
      <c r="B51" s="2" t="s">
        <v>90</v>
      </c>
      <c r="C51" s="2" t="s">
        <v>8</v>
      </c>
      <c r="D51" s="2" t="s">
        <v>9</v>
      </c>
      <c r="E51" s="1">
        <v>12</v>
      </c>
      <c r="F51" s="1">
        <v>50</v>
      </c>
      <c r="G51" s="3">
        <v>45476</v>
      </c>
      <c r="H51" s="34"/>
      <c r="I51" s="38">
        <f t="shared" si="0"/>
        <v>600</v>
      </c>
    </row>
    <row r="52" spans="1:9" ht="15.75" thickBot="1" x14ac:dyDescent="0.3">
      <c r="A52" s="1">
        <v>1050</v>
      </c>
      <c r="B52" s="2" t="s">
        <v>91</v>
      </c>
      <c r="C52" s="2" t="s">
        <v>11</v>
      </c>
      <c r="D52" s="2" t="s">
        <v>12</v>
      </c>
      <c r="E52" s="1">
        <v>25</v>
      </c>
      <c r="F52" s="1">
        <v>10</v>
      </c>
      <c r="G52" s="3">
        <v>45507</v>
      </c>
      <c r="H52" s="34"/>
      <c r="I52" s="38">
        <f t="shared" si="0"/>
        <v>250</v>
      </c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34A5-D909-4590-95B7-DEA4A0BF022A}">
  <dimension ref="A1:L53"/>
  <sheetViews>
    <sheetView workbookViewId="0">
      <selection activeCell="A3" sqref="A3:H53"/>
    </sheetView>
  </sheetViews>
  <sheetFormatPr defaultRowHeight="15" x14ac:dyDescent="0.25"/>
  <cols>
    <col min="1" max="1" width="8" bestFit="1" customWidth="1"/>
    <col min="2" max="2" width="9" bestFit="1" customWidth="1"/>
    <col min="3" max="3" width="7.140625" bestFit="1" customWidth="1"/>
    <col min="4" max="4" width="8.85546875" bestFit="1" customWidth="1"/>
    <col min="5" max="5" width="8.7109375" bestFit="1" customWidth="1"/>
    <col min="6" max="6" width="8.140625" bestFit="1" customWidth="1"/>
    <col min="7" max="7" width="17" customWidth="1"/>
    <col min="8" max="8" width="17.5703125" customWidth="1"/>
  </cols>
  <sheetData>
    <row r="1" spans="1:12" ht="24" x14ac:dyDescent="0.4">
      <c r="A1" s="43" t="s">
        <v>124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5.75" thickBot="1" x14ac:dyDescent="0.3"/>
    <row r="3" spans="1:12" ht="30.75" thickBot="1" x14ac:dyDescent="0.3">
      <c r="A3" s="41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42" t="s">
        <v>5</v>
      </c>
      <c r="G3" s="42" t="s">
        <v>6</v>
      </c>
      <c r="H3" s="42" t="s">
        <v>92</v>
      </c>
    </row>
    <row r="4" spans="1:12" ht="30.75" thickBot="1" x14ac:dyDescent="0.3">
      <c r="A4" s="45">
        <v>1001</v>
      </c>
      <c r="B4" s="46" t="s">
        <v>7</v>
      </c>
      <c r="C4" s="46" t="s">
        <v>8</v>
      </c>
      <c r="D4" s="46" t="s">
        <v>9</v>
      </c>
      <c r="E4" s="47">
        <v>10</v>
      </c>
      <c r="F4" s="47">
        <v>50</v>
      </c>
      <c r="G4" s="48">
        <v>45413</v>
      </c>
      <c r="H4" s="49">
        <f>E4*F4</f>
        <v>500</v>
      </c>
      <c r="J4" s="44" t="s">
        <v>123</v>
      </c>
      <c r="K4" s="44">
        <f>SUMIFS(H4:H53, D4:D53, "Notebook", C4:C53, "North")</f>
        <v>2900</v>
      </c>
    </row>
    <row r="5" spans="1:12" ht="30.75" thickBot="1" x14ac:dyDescent="0.3">
      <c r="A5" s="45">
        <v>1002</v>
      </c>
      <c r="B5" s="46" t="s">
        <v>10</v>
      </c>
      <c r="C5" s="46" t="s">
        <v>11</v>
      </c>
      <c r="D5" s="46" t="s">
        <v>12</v>
      </c>
      <c r="E5" s="47">
        <v>20</v>
      </c>
      <c r="F5" s="47">
        <v>10</v>
      </c>
      <c r="G5" s="48">
        <v>45444</v>
      </c>
      <c r="H5" s="49">
        <f t="shared" ref="H5:H53" si="0">E5*F5</f>
        <v>200</v>
      </c>
    </row>
    <row r="6" spans="1:12" ht="30.75" thickBot="1" x14ac:dyDescent="0.3">
      <c r="A6" s="45">
        <v>1003</v>
      </c>
      <c r="B6" s="46" t="s">
        <v>13</v>
      </c>
      <c r="C6" s="46" t="s">
        <v>14</v>
      </c>
      <c r="D6" s="46" t="s">
        <v>15</v>
      </c>
      <c r="E6" s="47">
        <v>15</v>
      </c>
      <c r="F6" s="47">
        <v>25</v>
      </c>
      <c r="G6" s="48">
        <v>45474</v>
      </c>
      <c r="H6" s="49">
        <f t="shared" si="0"/>
        <v>375</v>
      </c>
    </row>
    <row r="7" spans="1:12" ht="30.75" thickBot="1" x14ac:dyDescent="0.3">
      <c r="A7" s="45">
        <v>1004</v>
      </c>
      <c r="B7" s="46" t="s">
        <v>16</v>
      </c>
      <c r="C7" s="46" t="s">
        <v>17</v>
      </c>
      <c r="D7" s="46" t="s">
        <v>9</v>
      </c>
      <c r="E7" s="47">
        <v>5</v>
      </c>
      <c r="F7" s="47">
        <v>50</v>
      </c>
      <c r="G7" s="48">
        <v>45505</v>
      </c>
      <c r="H7" s="49">
        <f t="shared" si="0"/>
        <v>250</v>
      </c>
    </row>
    <row r="8" spans="1:12" ht="30.75" thickBot="1" x14ac:dyDescent="0.3">
      <c r="A8" s="45">
        <v>1005</v>
      </c>
      <c r="B8" s="46" t="s">
        <v>18</v>
      </c>
      <c r="C8" s="46" t="s">
        <v>8</v>
      </c>
      <c r="D8" s="46" t="s">
        <v>19</v>
      </c>
      <c r="E8" s="47">
        <v>30</v>
      </c>
      <c r="F8" s="47">
        <v>5</v>
      </c>
      <c r="G8" s="48">
        <v>45566</v>
      </c>
      <c r="H8" s="49">
        <f t="shared" si="0"/>
        <v>150</v>
      </c>
    </row>
    <row r="9" spans="1:12" ht="30.75" thickBot="1" x14ac:dyDescent="0.3">
      <c r="A9" s="45">
        <v>1006</v>
      </c>
      <c r="B9" s="46" t="s">
        <v>20</v>
      </c>
      <c r="C9" s="46" t="s">
        <v>11</v>
      </c>
      <c r="D9" s="46" t="s">
        <v>9</v>
      </c>
      <c r="E9" s="47">
        <v>12</v>
      </c>
      <c r="F9" s="47">
        <v>50</v>
      </c>
      <c r="G9" s="48">
        <v>45597</v>
      </c>
      <c r="H9" s="49">
        <f t="shared" si="0"/>
        <v>600</v>
      </c>
    </row>
    <row r="10" spans="1:12" ht="30.75" thickBot="1" x14ac:dyDescent="0.3">
      <c r="A10" s="45">
        <v>1007</v>
      </c>
      <c r="B10" s="46" t="s">
        <v>21</v>
      </c>
      <c r="C10" s="46" t="s">
        <v>14</v>
      </c>
      <c r="D10" s="46" t="s">
        <v>22</v>
      </c>
      <c r="E10" s="47">
        <v>25</v>
      </c>
      <c r="F10" s="47">
        <v>8</v>
      </c>
      <c r="G10" s="47" t="s">
        <v>23</v>
      </c>
      <c r="H10" s="49">
        <f t="shared" si="0"/>
        <v>200</v>
      </c>
    </row>
    <row r="11" spans="1:12" ht="30.75" thickBot="1" x14ac:dyDescent="0.3">
      <c r="A11" s="45">
        <v>1008</v>
      </c>
      <c r="B11" s="46" t="s">
        <v>24</v>
      </c>
      <c r="C11" s="46" t="s">
        <v>17</v>
      </c>
      <c r="D11" s="46" t="s">
        <v>12</v>
      </c>
      <c r="E11" s="47">
        <v>18</v>
      </c>
      <c r="F11" s="47">
        <v>10</v>
      </c>
      <c r="G11" s="47" t="s">
        <v>25</v>
      </c>
      <c r="H11" s="49">
        <f t="shared" si="0"/>
        <v>180</v>
      </c>
    </row>
    <row r="12" spans="1:12" ht="30.75" thickBot="1" x14ac:dyDescent="0.3">
      <c r="A12" s="45">
        <v>1009</v>
      </c>
      <c r="B12" s="46" t="s">
        <v>26</v>
      </c>
      <c r="C12" s="46" t="s">
        <v>8</v>
      </c>
      <c r="D12" s="46" t="s">
        <v>15</v>
      </c>
      <c r="E12" s="47">
        <v>22</v>
      </c>
      <c r="F12" s="47">
        <v>25</v>
      </c>
      <c r="G12" s="47" t="s">
        <v>27</v>
      </c>
      <c r="H12" s="49">
        <f t="shared" si="0"/>
        <v>550</v>
      </c>
    </row>
    <row r="13" spans="1:12" ht="30.75" thickBot="1" x14ac:dyDescent="0.3">
      <c r="A13" s="45">
        <v>1010</v>
      </c>
      <c r="B13" s="46" t="s">
        <v>28</v>
      </c>
      <c r="C13" s="46" t="s">
        <v>11</v>
      </c>
      <c r="D13" s="46" t="s">
        <v>9</v>
      </c>
      <c r="E13" s="47">
        <v>8</v>
      </c>
      <c r="F13" s="47">
        <v>50</v>
      </c>
      <c r="G13" s="47" t="s">
        <v>29</v>
      </c>
      <c r="H13" s="49">
        <f t="shared" si="0"/>
        <v>400</v>
      </c>
    </row>
    <row r="14" spans="1:12" ht="30.75" thickBot="1" x14ac:dyDescent="0.3">
      <c r="A14" s="45">
        <v>1011</v>
      </c>
      <c r="B14" s="46" t="s">
        <v>30</v>
      </c>
      <c r="C14" s="46" t="s">
        <v>14</v>
      </c>
      <c r="D14" s="46" t="s">
        <v>19</v>
      </c>
      <c r="E14" s="47">
        <v>40</v>
      </c>
      <c r="F14" s="47">
        <v>5</v>
      </c>
      <c r="G14" s="47" t="s">
        <v>31</v>
      </c>
      <c r="H14" s="49">
        <f t="shared" si="0"/>
        <v>200</v>
      </c>
    </row>
    <row r="15" spans="1:12" ht="30.75" thickBot="1" x14ac:dyDescent="0.3">
      <c r="A15" s="45">
        <v>1012</v>
      </c>
      <c r="B15" s="46" t="s">
        <v>32</v>
      </c>
      <c r="C15" s="46" t="s">
        <v>17</v>
      </c>
      <c r="D15" s="46" t="s">
        <v>22</v>
      </c>
      <c r="E15" s="47">
        <v>35</v>
      </c>
      <c r="F15" s="47">
        <v>8</v>
      </c>
      <c r="G15" s="47" t="s">
        <v>33</v>
      </c>
      <c r="H15" s="49">
        <f t="shared" si="0"/>
        <v>280</v>
      </c>
    </row>
    <row r="16" spans="1:12" ht="30.75" thickBot="1" x14ac:dyDescent="0.3">
      <c r="A16" s="45">
        <v>1013</v>
      </c>
      <c r="B16" s="46" t="s">
        <v>34</v>
      </c>
      <c r="C16" s="46" t="s">
        <v>8</v>
      </c>
      <c r="D16" s="46" t="s">
        <v>9</v>
      </c>
      <c r="E16" s="47">
        <v>14</v>
      </c>
      <c r="F16" s="47">
        <v>50</v>
      </c>
      <c r="G16" s="47" t="s">
        <v>35</v>
      </c>
      <c r="H16" s="49">
        <f t="shared" si="0"/>
        <v>700</v>
      </c>
    </row>
    <row r="17" spans="1:8" ht="30.75" thickBot="1" x14ac:dyDescent="0.3">
      <c r="A17" s="45">
        <v>1014</v>
      </c>
      <c r="B17" s="46" t="s">
        <v>36</v>
      </c>
      <c r="C17" s="46" t="s">
        <v>11</v>
      </c>
      <c r="D17" s="46" t="s">
        <v>12</v>
      </c>
      <c r="E17" s="47">
        <v>28</v>
      </c>
      <c r="F17" s="47">
        <v>10</v>
      </c>
      <c r="G17" s="47" t="s">
        <v>37</v>
      </c>
      <c r="H17" s="49">
        <f t="shared" si="0"/>
        <v>280</v>
      </c>
    </row>
    <row r="18" spans="1:8" ht="30.75" thickBot="1" x14ac:dyDescent="0.3">
      <c r="A18" s="45">
        <v>1015</v>
      </c>
      <c r="B18" s="46" t="s">
        <v>38</v>
      </c>
      <c r="C18" s="46" t="s">
        <v>14</v>
      </c>
      <c r="D18" s="46" t="s">
        <v>15</v>
      </c>
      <c r="E18" s="47">
        <v>12</v>
      </c>
      <c r="F18" s="47">
        <v>25</v>
      </c>
      <c r="G18" s="47" t="s">
        <v>39</v>
      </c>
      <c r="H18" s="49">
        <f t="shared" si="0"/>
        <v>300</v>
      </c>
    </row>
    <row r="19" spans="1:8" ht="30.75" thickBot="1" x14ac:dyDescent="0.3">
      <c r="A19" s="45">
        <v>1016</v>
      </c>
      <c r="B19" s="46" t="s">
        <v>40</v>
      </c>
      <c r="C19" s="46" t="s">
        <v>17</v>
      </c>
      <c r="D19" s="46" t="s">
        <v>19</v>
      </c>
      <c r="E19" s="47">
        <v>25</v>
      </c>
      <c r="F19" s="47">
        <v>5</v>
      </c>
      <c r="G19" s="47" t="s">
        <v>41</v>
      </c>
      <c r="H19" s="49">
        <f t="shared" si="0"/>
        <v>125</v>
      </c>
    </row>
    <row r="20" spans="1:8" ht="30.75" thickBot="1" x14ac:dyDescent="0.3">
      <c r="A20" s="45">
        <v>1017</v>
      </c>
      <c r="B20" s="46" t="s">
        <v>42</v>
      </c>
      <c r="C20" s="46" t="s">
        <v>8</v>
      </c>
      <c r="D20" s="46" t="s">
        <v>22</v>
      </c>
      <c r="E20" s="47">
        <v>20</v>
      </c>
      <c r="F20" s="47">
        <v>8</v>
      </c>
      <c r="G20" s="47" t="s">
        <v>43</v>
      </c>
      <c r="H20" s="49">
        <f t="shared" si="0"/>
        <v>160</v>
      </c>
    </row>
    <row r="21" spans="1:8" ht="30.75" thickBot="1" x14ac:dyDescent="0.3">
      <c r="A21" s="45">
        <v>1018</v>
      </c>
      <c r="B21" s="46" t="s">
        <v>44</v>
      </c>
      <c r="C21" s="46" t="s">
        <v>11</v>
      </c>
      <c r="D21" s="46" t="s">
        <v>9</v>
      </c>
      <c r="E21" s="47">
        <v>10</v>
      </c>
      <c r="F21" s="47">
        <v>50</v>
      </c>
      <c r="G21" s="47" t="s">
        <v>45</v>
      </c>
      <c r="H21" s="49">
        <f t="shared" si="0"/>
        <v>500</v>
      </c>
    </row>
    <row r="22" spans="1:8" ht="30.75" thickBot="1" x14ac:dyDescent="0.3">
      <c r="A22" s="45">
        <v>1019</v>
      </c>
      <c r="B22" s="46" t="s">
        <v>46</v>
      </c>
      <c r="C22" s="46" t="s">
        <v>14</v>
      </c>
      <c r="D22" s="46" t="s">
        <v>12</v>
      </c>
      <c r="E22" s="47">
        <v>15</v>
      </c>
      <c r="F22" s="47">
        <v>10</v>
      </c>
      <c r="G22" s="47" t="s">
        <v>47</v>
      </c>
      <c r="H22" s="49">
        <f t="shared" si="0"/>
        <v>150</v>
      </c>
    </row>
    <row r="23" spans="1:8" ht="30.75" thickBot="1" x14ac:dyDescent="0.3">
      <c r="A23" s="45">
        <v>1020</v>
      </c>
      <c r="B23" s="46" t="s">
        <v>48</v>
      </c>
      <c r="C23" s="46" t="s">
        <v>17</v>
      </c>
      <c r="D23" s="46" t="s">
        <v>15</v>
      </c>
      <c r="E23" s="47">
        <v>18</v>
      </c>
      <c r="F23" s="47">
        <v>25</v>
      </c>
      <c r="G23" s="48">
        <v>45293</v>
      </c>
      <c r="H23" s="49">
        <f t="shared" si="0"/>
        <v>450</v>
      </c>
    </row>
    <row r="24" spans="1:8" ht="30.75" thickBot="1" x14ac:dyDescent="0.3">
      <c r="A24" s="45">
        <v>1021</v>
      </c>
      <c r="B24" s="46" t="s">
        <v>49</v>
      </c>
      <c r="C24" s="46" t="s">
        <v>8</v>
      </c>
      <c r="D24" s="46" t="s">
        <v>9</v>
      </c>
      <c r="E24" s="47">
        <v>9</v>
      </c>
      <c r="F24" s="47">
        <v>50</v>
      </c>
      <c r="G24" s="48">
        <v>45324</v>
      </c>
      <c r="H24" s="49">
        <f t="shared" si="0"/>
        <v>450</v>
      </c>
    </row>
    <row r="25" spans="1:8" ht="30.75" thickBot="1" x14ac:dyDescent="0.3">
      <c r="A25" s="45">
        <v>1022</v>
      </c>
      <c r="B25" s="46" t="s">
        <v>50</v>
      </c>
      <c r="C25" s="46" t="s">
        <v>11</v>
      </c>
      <c r="D25" s="46" t="s">
        <v>19</v>
      </c>
      <c r="E25" s="47">
        <v>35</v>
      </c>
      <c r="F25" s="47">
        <v>5</v>
      </c>
      <c r="G25" s="48">
        <v>45353</v>
      </c>
      <c r="H25" s="49">
        <f t="shared" si="0"/>
        <v>175</v>
      </c>
    </row>
    <row r="26" spans="1:8" ht="30.75" thickBot="1" x14ac:dyDescent="0.3">
      <c r="A26" s="45">
        <v>1023</v>
      </c>
      <c r="B26" s="46" t="s">
        <v>51</v>
      </c>
      <c r="C26" s="46" t="s">
        <v>14</v>
      </c>
      <c r="D26" s="46" t="s">
        <v>22</v>
      </c>
      <c r="E26" s="47">
        <v>30</v>
      </c>
      <c r="F26" s="47">
        <v>8</v>
      </c>
      <c r="G26" s="48">
        <v>45384</v>
      </c>
      <c r="H26" s="49">
        <f t="shared" si="0"/>
        <v>240</v>
      </c>
    </row>
    <row r="27" spans="1:8" ht="30.75" thickBot="1" x14ac:dyDescent="0.3">
      <c r="A27" s="45">
        <v>1024</v>
      </c>
      <c r="B27" s="46" t="s">
        <v>52</v>
      </c>
      <c r="C27" s="46" t="s">
        <v>17</v>
      </c>
      <c r="D27" s="46" t="s">
        <v>9</v>
      </c>
      <c r="E27" s="47">
        <v>11</v>
      </c>
      <c r="F27" s="47">
        <v>50</v>
      </c>
      <c r="G27" s="48">
        <v>45445</v>
      </c>
      <c r="H27" s="49">
        <f t="shared" si="0"/>
        <v>550</v>
      </c>
    </row>
    <row r="28" spans="1:8" ht="30.75" thickBot="1" x14ac:dyDescent="0.3">
      <c r="A28" s="45">
        <v>1025</v>
      </c>
      <c r="B28" s="46" t="s">
        <v>53</v>
      </c>
      <c r="C28" s="46" t="s">
        <v>8</v>
      </c>
      <c r="D28" s="46" t="s">
        <v>12</v>
      </c>
      <c r="E28" s="47">
        <v>14</v>
      </c>
      <c r="F28" s="47">
        <v>10</v>
      </c>
      <c r="G28" s="48">
        <v>45475</v>
      </c>
      <c r="H28" s="49">
        <f t="shared" si="0"/>
        <v>140</v>
      </c>
    </row>
    <row r="29" spans="1:8" ht="30.75" thickBot="1" x14ac:dyDescent="0.3">
      <c r="A29" s="45">
        <v>1026</v>
      </c>
      <c r="B29" s="46" t="s">
        <v>54</v>
      </c>
      <c r="C29" s="46" t="s">
        <v>11</v>
      </c>
      <c r="D29" s="46" t="s">
        <v>15</v>
      </c>
      <c r="E29" s="47">
        <v>16</v>
      </c>
      <c r="F29" s="47">
        <v>25</v>
      </c>
      <c r="G29" s="48">
        <v>45506</v>
      </c>
      <c r="H29" s="49">
        <f t="shared" si="0"/>
        <v>400</v>
      </c>
    </row>
    <row r="30" spans="1:8" ht="30.75" thickBot="1" x14ac:dyDescent="0.3">
      <c r="A30" s="45">
        <v>1027</v>
      </c>
      <c r="B30" s="46" t="s">
        <v>55</v>
      </c>
      <c r="C30" s="46" t="s">
        <v>14</v>
      </c>
      <c r="D30" s="46" t="s">
        <v>19</v>
      </c>
      <c r="E30" s="47">
        <v>22</v>
      </c>
      <c r="F30" s="47">
        <v>5</v>
      </c>
      <c r="G30" s="48">
        <v>45537</v>
      </c>
      <c r="H30" s="49">
        <f t="shared" si="0"/>
        <v>110</v>
      </c>
    </row>
    <row r="31" spans="1:8" ht="30.75" thickBot="1" x14ac:dyDescent="0.3">
      <c r="A31" s="45">
        <v>1028</v>
      </c>
      <c r="B31" s="46" t="s">
        <v>56</v>
      </c>
      <c r="C31" s="46" t="s">
        <v>17</v>
      </c>
      <c r="D31" s="46" t="s">
        <v>22</v>
      </c>
      <c r="E31" s="47">
        <v>27</v>
      </c>
      <c r="F31" s="47">
        <v>8</v>
      </c>
      <c r="G31" s="48">
        <v>45567</v>
      </c>
      <c r="H31" s="49">
        <f t="shared" si="0"/>
        <v>216</v>
      </c>
    </row>
    <row r="32" spans="1:8" ht="30.75" thickBot="1" x14ac:dyDescent="0.3">
      <c r="A32" s="45">
        <v>1029</v>
      </c>
      <c r="B32" s="46" t="s">
        <v>57</v>
      </c>
      <c r="C32" s="46" t="s">
        <v>8</v>
      </c>
      <c r="D32" s="46" t="s">
        <v>9</v>
      </c>
      <c r="E32" s="47">
        <v>13</v>
      </c>
      <c r="F32" s="47">
        <v>50</v>
      </c>
      <c r="G32" s="48">
        <v>45628</v>
      </c>
      <c r="H32" s="49">
        <f t="shared" si="0"/>
        <v>650</v>
      </c>
    </row>
    <row r="33" spans="1:8" ht="30.75" thickBot="1" x14ac:dyDescent="0.3">
      <c r="A33" s="45">
        <v>1030</v>
      </c>
      <c r="B33" s="46" t="s">
        <v>58</v>
      </c>
      <c r="C33" s="46" t="s">
        <v>11</v>
      </c>
      <c r="D33" s="46" t="s">
        <v>12</v>
      </c>
      <c r="E33" s="47">
        <v>32</v>
      </c>
      <c r="F33" s="47">
        <v>10</v>
      </c>
      <c r="G33" s="47" t="s">
        <v>59</v>
      </c>
      <c r="H33" s="49">
        <f t="shared" si="0"/>
        <v>320</v>
      </c>
    </row>
    <row r="34" spans="1:8" ht="30.75" thickBot="1" x14ac:dyDescent="0.3">
      <c r="A34" s="45">
        <v>1031</v>
      </c>
      <c r="B34" s="46" t="s">
        <v>60</v>
      </c>
      <c r="C34" s="46" t="s">
        <v>14</v>
      </c>
      <c r="D34" s="46" t="s">
        <v>15</v>
      </c>
      <c r="E34" s="47">
        <v>10</v>
      </c>
      <c r="F34" s="47">
        <v>25</v>
      </c>
      <c r="G34" s="47" t="s">
        <v>61</v>
      </c>
      <c r="H34" s="49">
        <f t="shared" si="0"/>
        <v>250</v>
      </c>
    </row>
    <row r="35" spans="1:8" ht="30.75" thickBot="1" x14ac:dyDescent="0.3">
      <c r="A35" s="45">
        <v>1032</v>
      </c>
      <c r="B35" s="46" t="s">
        <v>62</v>
      </c>
      <c r="C35" s="46" t="s">
        <v>17</v>
      </c>
      <c r="D35" s="46" t="s">
        <v>19</v>
      </c>
      <c r="E35" s="47">
        <v>18</v>
      </c>
      <c r="F35" s="47">
        <v>5</v>
      </c>
      <c r="G35" s="47" t="s">
        <v>63</v>
      </c>
      <c r="H35" s="49">
        <f t="shared" si="0"/>
        <v>90</v>
      </c>
    </row>
    <row r="36" spans="1:8" ht="30.75" thickBot="1" x14ac:dyDescent="0.3">
      <c r="A36" s="45">
        <v>1033</v>
      </c>
      <c r="B36" s="46" t="s">
        <v>64</v>
      </c>
      <c r="C36" s="46" t="s">
        <v>8</v>
      </c>
      <c r="D36" s="46" t="s">
        <v>22</v>
      </c>
      <c r="E36" s="47">
        <v>22</v>
      </c>
      <c r="F36" s="47">
        <v>8</v>
      </c>
      <c r="G36" s="47" t="s">
        <v>65</v>
      </c>
      <c r="H36" s="49">
        <f t="shared" si="0"/>
        <v>176</v>
      </c>
    </row>
    <row r="37" spans="1:8" ht="30.75" thickBot="1" x14ac:dyDescent="0.3">
      <c r="A37" s="45">
        <v>1034</v>
      </c>
      <c r="B37" s="46" t="s">
        <v>66</v>
      </c>
      <c r="C37" s="46" t="s">
        <v>11</v>
      </c>
      <c r="D37" s="46" t="s">
        <v>9</v>
      </c>
      <c r="E37" s="47">
        <v>17</v>
      </c>
      <c r="F37" s="47">
        <v>50</v>
      </c>
      <c r="G37" s="47" t="s">
        <v>67</v>
      </c>
      <c r="H37" s="49">
        <f t="shared" si="0"/>
        <v>850</v>
      </c>
    </row>
    <row r="38" spans="1:8" ht="30.75" thickBot="1" x14ac:dyDescent="0.3">
      <c r="A38" s="45">
        <v>1035</v>
      </c>
      <c r="B38" s="46" t="s">
        <v>68</v>
      </c>
      <c r="C38" s="46" t="s">
        <v>14</v>
      </c>
      <c r="D38" s="46" t="s">
        <v>12</v>
      </c>
      <c r="E38" s="47">
        <v>19</v>
      </c>
      <c r="F38" s="47">
        <v>10</v>
      </c>
      <c r="G38" s="47" t="s">
        <v>69</v>
      </c>
      <c r="H38" s="49">
        <f t="shared" si="0"/>
        <v>190</v>
      </c>
    </row>
    <row r="39" spans="1:8" ht="30.75" thickBot="1" x14ac:dyDescent="0.3">
      <c r="A39" s="45">
        <v>1036</v>
      </c>
      <c r="B39" s="46" t="s">
        <v>70</v>
      </c>
      <c r="C39" s="46" t="s">
        <v>17</v>
      </c>
      <c r="D39" s="46" t="s">
        <v>15</v>
      </c>
      <c r="E39" s="47">
        <v>15</v>
      </c>
      <c r="F39" s="47">
        <v>25</v>
      </c>
      <c r="G39" s="47" t="s">
        <v>71</v>
      </c>
      <c r="H39" s="49">
        <f t="shared" si="0"/>
        <v>375</v>
      </c>
    </row>
    <row r="40" spans="1:8" ht="15.75" thickBot="1" x14ac:dyDescent="0.3">
      <c r="A40" s="45">
        <v>1037</v>
      </c>
      <c r="B40" s="46" t="s">
        <v>72</v>
      </c>
      <c r="C40" s="46" t="s">
        <v>8</v>
      </c>
      <c r="D40" s="46" t="s">
        <v>19</v>
      </c>
      <c r="E40" s="47">
        <v>28</v>
      </c>
      <c r="F40" s="47">
        <v>5</v>
      </c>
      <c r="G40" s="47" t="s">
        <v>73</v>
      </c>
      <c r="H40" s="49">
        <f t="shared" si="0"/>
        <v>140</v>
      </c>
    </row>
    <row r="41" spans="1:8" ht="30.75" thickBot="1" x14ac:dyDescent="0.3">
      <c r="A41" s="45">
        <v>1038</v>
      </c>
      <c r="B41" s="46" t="s">
        <v>74</v>
      </c>
      <c r="C41" s="46" t="s">
        <v>11</v>
      </c>
      <c r="D41" s="46" t="s">
        <v>22</v>
      </c>
      <c r="E41" s="47">
        <v>24</v>
      </c>
      <c r="F41" s="47">
        <v>8</v>
      </c>
      <c r="G41" s="47" t="s">
        <v>75</v>
      </c>
      <c r="H41" s="49">
        <f t="shared" si="0"/>
        <v>192</v>
      </c>
    </row>
    <row r="42" spans="1:8" ht="30.75" thickBot="1" x14ac:dyDescent="0.3">
      <c r="A42" s="45">
        <v>1039</v>
      </c>
      <c r="B42" s="46" t="s">
        <v>76</v>
      </c>
      <c r="C42" s="46" t="s">
        <v>14</v>
      </c>
      <c r="D42" s="46" t="s">
        <v>9</v>
      </c>
      <c r="E42" s="47">
        <v>16</v>
      </c>
      <c r="F42" s="47">
        <v>50</v>
      </c>
      <c r="G42" s="47" t="s">
        <v>77</v>
      </c>
      <c r="H42" s="49">
        <f t="shared" si="0"/>
        <v>800</v>
      </c>
    </row>
    <row r="43" spans="1:8" ht="30.75" thickBot="1" x14ac:dyDescent="0.3">
      <c r="A43" s="45">
        <v>1040</v>
      </c>
      <c r="B43" s="46" t="s">
        <v>78</v>
      </c>
      <c r="C43" s="46" t="s">
        <v>17</v>
      </c>
      <c r="D43" s="46" t="s">
        <v>12</v>
      </c>
      <c r="E43" s="47">
        <v>27</v>
      </c>
      <c r="F43" s="47">
        <v>10</v>
      </c>
      <c r="G43" s="47" t="s">
        <v>79</v>
      </c>
      <c r="H43" s="49">
        <f t="shared" si="0"/>
        <v>270</v>
      </c>
    </row>
    <row r="44" spans="1:8" ht="30.75" thickBot="1" x14ac:dyDescent="0.3">
      <c r="A44" s="45">
        <v>1041</v>
      </c>
      <c r="B44" s="46" t="s">
        <v>80</v>
      </c>
      <c r="C44" s="46" t="s">
        <v>8</v>
      </c>
      <c r="D44" s="46" t="s">
        <v>15</v>
      </c>
      <c r="E44" s="47">
        <v>21</v>
      </c>
      <c r="F44" s="47">
        <v>25</v>
      </c>
      <c r="G44" s="47" t="s">
        <v>81</v>
      </c>
      <c r="H44" s="49">
        <f t="shared" si="0"/>
        <v>525</v>
      </c>
    </row>
    <row r="45" spans="1:8" ht="30.75" thickBot="1" x14ac:dyDescent="0.3">
      <c r="A45" s="45">
        <v>1042</v>
      </c>
      <c r="B45" s="46" t="s">
        <v>82</v>
      </c>
      <c r="C45" s="46" t="s">
        <v>11</v>
      </c>
      <c r="D45" s="46" t="s">
        <v>19</v>
      </c>
      <c r="E45" s="47">
        <v>30</v>
      </c>
      <c r="F45" s="47">
        <v>5</v>
      </c>
      <c r="G45" s="47" t="s">
        <v>83</v>
      </c>
      <c r="H45" s="49">
        <f t="shared" si="0"/>
        <v>150</v>
      </c>
    </row>
    <row r="46" spans="1:8" ht="30.75" thickBot="1" x14ac:dyDescent="0.3">
      <c r="A46" s="45">
        <v>1043</v>
      </c>
      <c r="B46" s="46" t="s">
        <v>84</v>
      </c>
      <c r="C46" s="46" t="s">
        <v>14</v>
      </c>
      <c r="D46" s="46" t="s">
        <v>22</v>
      </c>
      <c r="E46" s="47">
        <v>26</v>
      </c>
      <c r="F46" s="47">
        <v>8</v>
      </c>
      <c r="G46" s="48">
        <v>45294</v>
      </c>
      <c r="H46" s="49">
        <f t="shared" si="0"/>
        <v>208</v>
      </c>
    </row>
    <row r="47" spans="1:8" ht="30.75" thickBot="1" x14ac:dyDescent="0.3">
      <c r="A47" s="45">
        <v>1044</v>
      </c>
      <c r="B47" s="46" t="s">
        <v>85</v>
      </c>
      <c r="C47" s="46" t="s">
        <v>17</v>
      </c>
      <c r="D47" s="46" t="s">
        <v>9</v>
      </c>
      <c r="E47" s="47">
        <v>14</v>
      </c>
      <c r="F47" s="47">
        <v>50</v>
      </c>
      <c r="G47" s="48">
        <v>45325</v>
      </c>
      <c r="H47" s="49">
        <f t="shared" si="0"/>
        <v>700</v>
      </c>
    </row>
    <row r="48" spans="1:8" ht="30.75" thickBot="1" x14ac:dyDescent="0.3">
      <c r="A48" s="45">
        <v>1045</v>
      </c>
      <c r="B48" s="46" t="s">
        <v>86</v>
      </c>
      <c r="C48" s="46" t="s">
        <v>8</v>
      </c>
      <c r="D48" s="46" t="s">
        <v>12</v>
      </c>
      <c r="E48" s="47">
        <v>20</v>
      </c>
      <c r="F48" s="47">
        <v>10</v>
      </c>
      <c r="G48" s="48">
        <v>45354</v>
      </c>
      <c r="H48" s="49">
        <f t="shared" si="0"/>
        <v>200</v>
      </c>
    </row>
    <row r="49" spans="1:8" ht="30.75" thickBot="1" x14ac:dyDescent="0.3">
      <c r="A49" s="45">
        <v>1046</v>
      </c>
      <c r="B49" s="46" t="s">
        <v>87</v>
      </c>
      <c r="C49" s="46" t="s">
        <v>11</v>
      </c>
      <c r="D49" s="46" t="s">
        <v>15</v>
      </c>
      <c r="E49" s="47">
        <v>17</v>
      </c>
      <c r="F49" s="47">
        <v>25</v>
      </c>
      <c r="G49" s="48">
        <v>45385</v>
      </c>
      <c r="H49" s="49">
        <f t="shared" si="0"/>
        <v>425</v>
      </c>
    </row>
    <row r="50" spans="1:8" ht="30.75" thickBot="1" x14ac:dyDescent="0.3">
      <c r="A50" s="45">
        <v>1047</v>
      </c>
      <c r="B50" s="46" t="s">
        <v>88</v>
      </c>
      <c r="C50" s="46" t="s">
        <v>14</v>
      </c>
      <c r="D50" s="46" t="s">
        <v>19</v>
      </c>
      <c r="E50" s="47">
        <v>19</v>
      </c>
      <c r="F50" s="47">
        <v>5</v>
      </c>
      <c r="G50" s="48">
        <v>45415</v>
      </c>
      <c r="H50" s="49">
        <f t="shared" si="0"/>
        <v>95</v>
      </c>
    </row>
    <row r="51" spans="1:8" ht="30.75" thickBot="1" x14ac:dyDescent="0.3">
      <c r="A51" s="45">
        <v>1048</v>
      </c>
      <c r="B51" s="46" t="s">
        <v>89</v>
      </c>
      <c r="C51" s="46" t="s">
        <v>17</v>
      </c>
      <c r="D51" s="46" t="s">
        <v>22</v>
      </c>
      <c r="E51" s="47">
        <v>32</v>
      </c>
      <c r="F51" s="47">
        <v>8</v>
      </c>
      <c r="G51" s="48">
        <v>45446</v>
      </c>
      <c r="H51" s="49">
        <f t="shared" si="0"/>
        <v>256</v>
      </c>
    </row>
    <row r="52" spans="1:8" ht="30.75" thickBot="1" x14ac:dyDescent="0.3">
      <c r="A52" s="45">
        <v>1049</v>
      </c>
      <c r="B52" s="46" t="s">
        <v>90</v>
      </c>
      <c r="C52" s="46" t="s">
        <v>8</v>
      </c>
      <c r="D52" s="46" t="s">
        <v>9</v>
      </c>
      <c r="E52" s="47">
        <v>12</v>
      </c>
      <c r="F52" s="47">
        <v>50</v>
      </c>
      <c r="G52" s="48">
        <v>45476</v>
      </c>
      <c r="H52" s="49">
        <f t="shared" si="0"/>
        <v>600</v>
      </c>
    </row>
    <row r="53" spans="1:8" ht="30.75" thickBot="1" x14ac:dyDescent="0.3">
      <c r="A53" s="45">
        <v>1050</v>
      </c>
      <c r="B53" s="46" t="s">
        <v>91</v>
      </c>
      <c r="C53" s="46" t="s">
        <v>11</v>
      </c>
      <c r="D53" s="46" t="s">
        <v>12</v>
      </c>
      <c r="E53" s="47">
        <v>25</v>
      </c>
      <c r="F53" s="47">
        <v>10</v>
      </c>
      <c r="G53" s="48">
        <v>45507</v>
      </c>
      <c r="H53" s="49">
        <f t="shared" si="0"/>
        <v>250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0AC5-B02B-4AFD-A7B1-CF16703F0BCD}">
  <dimension ref="A1:K53"/>
  <sheetViews>
    <sheetView workbookViewId="0">
      <selection activeCell="R17" sqref="R17"/>
    </sheetView>
  </sheetViews>
  <sheetFormatPr defaultRowHeight="15" x14ac:dyDescent="0.25"/>
  <cols>
    <col min="2" max="2" width="18.140625" customWidth="1"/>
    <col min="7" max="7" width="13.5703125" customWidth="1"/>
    <col min="8" max="8" width="12.5703125" customWidth="1"/>
  </cols>
  <sheetData>
    <row r="1" spans="1:11" ht="21" x14ac:dyDescent="0.35">
      <c r="A1" s="50" t="s">
        <v>125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.75" thickBot="1" x14ac:dyDescent="0.3"/>
    <row r="3" spans="1:11" ht="30.75" thickBot="1" x14ac:dyDescent="0.3">
      <c r="A3" s="41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42" t="s">
        <v>5</v>
      </c>
      <c r="G3" s="42" t="s">
        <v>6</v>
      </c>
      <c r="H3" s="42" t="s">
        <v>92</v>
      </c>
    </row>
    <row r="4" spans="1:11" ht="30.75" thickBot="1" x14ac:dyDescent="0.3">
      <c r="A4" s="45">
        <v>1001</v>
      </c>
      <c r="B4" s="46" t="s">
        <v>7</v>
      </c>
      <c r="C4" s="46" t="s">
        <v>8</v>
      </c>
      <c r="D4" s="46" t="s">
        <v>9</v>
      </c>
      <c r="E4" s="47">
        <v>10</v>
      </c>
      <c r="F4" s="47">
        <v>50</v>
      </c>
      <c r="G4" s="48">
        <v>45413</v>
      </c>
      <c r="H4" s="49">
        <f>E4*F4</f>
        <v>500</v>
      </c>
    </row>
    <row r="5" spans="1:11" ht="15.75" thickBot="1" x14ac:dyDescent="0.3">
      <c r="A5" s="45">
        <v>1002</v>
      </c>
      <c r="B5" s="46" t="s">
        <v>10</v>
      </c>
      <c r="C5" s="46" t="s">
        <v>11</v>
      </c>
      <c r="D5" s="46" t="s">
        <v>12</v>
      </c>
      <c r="E5" s="47">
        <v>20</v>
      </c>
      <c r="F5" s="47">
        <v>10</v>
      </c>
      <c r="G5" s="48">
        <v>45444</v>
      </c>
      <c r="H5" s="49">
        <f t="shared" ref="H5:H53" si="0">E5*F5</f>
        <v>200</v>
      </c>
    </row>
    <row r="6" spans="1:11" ht="15.75" thickBot="1" x14ac:dyDescent="0.3">
      <c r="A6" s="45">
        <v>1003</v>
      </c>
      <c r="B6" s="46" t="s">
        <v>13</v>
      </c>
      <c r="C6" s="46" t="s">
        <v>14</v>
      </c>
      <c r="D6" s="46" t="s">
        <v>15</v>
      </c>
      <c r="E6" s="47">
        <v>15</v>
      </c>
      <c r="F6" s="47">
        <v>25</v>
      </c>
      <c r="G6" s="48">
        <v>45474</v>
      </c>
      <c r="H6" s="49">
        <f t="shared" si="0"/>
        <v>375</v>
      </c>
    </row>
    <row r="7" spans="1:11" ht="30.75" thickBot="1" x14ac:dyDescent="0.3">
      <c r="A7" s="45">
        <v>1004</v>
      </c>
      <c r="B7" s="46" t="s">
        <v>16</v>
      </c>
      <c r="C7" s="46" t="s">
        <v>17</v>
      </c>
      <c r="D7" s="46" t="s">
        <v>9</v>
      </c>
      <c r="E7" s="47">
        <v>5</v>
      </c>
      <c r="F7" s="47">
        <v>50</v>
      </c>
      <c r="G7" s="48">
        <v>45505</v>
      </c>
      <c r="H7" s="49">
        <f t="shared" si="0"/>
        <v>250</v>
      </c>
    </row>
    <row r="8" spans="1:11" ht="15.75" thickBot="1" x14ac:dyDescent="0.3">
      <c r="A8" s="45">
        <v>1005</v>
      </c>
      <c r="B8" s="46" t="s">
        <v>18</v>
      </c>
      <c r="C8" s="46" t="s">
        <v>8</v>
      </c>
      <c r="D8" s="46" t="s">
        <v>19</v>
      </c>
      <c r="E8" s="47">
        <v>30</v>
      </c>
      <c r="F8" s="47">
        <v>5</v>
      </c>
      <c r="G8" s="48">
        <v>45566</v>
      </c>
      <c r="H8" s="49">
        <f t="shared" si="0"/>
        <v>150</v>
      </c>
    </row>
    <row r="9" spans="1:11" ht="30.75" thickBot="1" x14ac:dyDescent="0.3">
      <c r="A9" s="45">
        <v>1006</v>
      </c>
      <c r="B9" s="46" t="s">
        <v>20</v>
      </c>
      <c r="C9" s="46" t="s">
        <v>11</v>
      </c>
      <c r="D9" s="46" t="s">
        <v>9</v>
      </c>
      <c r="E9" s="47">
        <v>12</v>
      </c>
      <c r="F9" s="47">
        <v>50</v>
      </c>
      <c r="G9" s="48">
        <v>45597</v>
      </c>
      <c r="H9" s="49">
        <f t="shared" si="0"/>
        <v>600</v>
      </c>
    </row>
    <row r="10" spans="1:11" ht="15.75" thickBot="1" x14ac:dyDescent="0.3">
      <c r="A10" s="45">
        <v>1007</v>
      </c>
      <c r="B10" s="46" t="s">
        <v>21</v>
      </c>
      <c r="C10" s="46" t="s">
        <v>14</v>
      </c>
      <c r="D10" s="46" t="s">
        <v>22</v>
      </c>
      <c r="E10" s="47">
        <v>25</v>
      </c>
      <c r="F10" s="47">
        <v>8</v>
      </c>
      <c r="G10" s="47" t="s">
        <v>23</v>
      </c>
      <c r="H10" s="49">
        <f t="shared" si="0"/>
        <v>200</v>
      </c>
    </row>
    <row r="11" spans="1:11" ht="15.75" thickBot="1" x14ac:dyDescent="0.3">
      <c r="A11" s="45">
        <v>1008</v>
      </c>
      <c r="B11" s="46" t="s">
        <v>24</v>
      </c>
      <c r="C11" s="46" t="s">
        <v>17</v>
      </c>
      <c r="D11" s="46" t="s">
        <v>12</v>
      </c>
      <c r="E11" s="47">
        <v>18</v>
      </c>
      <c r="F11" s="47">
        <v>10</v>
      </c>
      <c r="G11" s="47" t="s">
        <v>25</v>
      </c>
      <c r="H11" s="49">
        <f t="shared" si="0"/>
        <v>180</v>
      </c>
    </row>
    <row r="12" spans="1:11" ht="15.75" thickBot="1" x14ac:dyDescent="0.3">
      <c r="A12" s="45">
        <v>1009</v>
      </c>
      <c r="B12" s="46" t="s">
        <v>26</v>
      </c>
      <c r="C12" s="46" t="s">
        <v>8</v>
      </c>
      <c r="D12" s="46" t="s">
        <v>15</v>
      </c>
      <c r="E12" s="47">
        <v>22</v>
      </c>
      <c r="F12" s="47">
        <v>25</v>
      </c>
      <c r="G12" s="47" t="s">
        <v>27</v>
      </c>
      <c r="H12" s="49">
        <f t="shared" si="0"/>
        <v>550</v>
      </c>
    </row>
    <row r="13" spans="1:11" ht="30.75" thickBot="1" x14ac:dyDescent="0.3">
      <c r="A13" s="45">
        <v>1010</v>
      </c>
      <c r="B13" s="46" t="s">
        <v>28</v>
      </c>
      <c r="C13" s="46" t="s">
        <v>11</v>
      </c>
      <c r="D13" s="46" t="s">
        <v>9</v>
      </c>
      <c r="E13" s="47">
        <v>8</v>
      </c>
      <c r="F13" s="47">
        <v>50</v>
      </c>
      <c r="G13" s="47" t="s">
        <v>29</v>
      </c>
      <c r="H13" s="49">
        <f t="shared" si="0"/>
        <v>400</v>
      </c>
    </row>
    <row r="14" spans="1:11" ht="15.75" thickBot="1" x14ac:dyDescent="0.3">
      <c r="A14" s="45">
        <v>1011</v>
      </c>
      <c r="B14" s="46" t="s">
        <v>30</v>
      </c>
      <c r="C14" s="46" t="s">
        <v>14</v>
      </c>
      <c r="D14" s="46" t="s">
        <v>19</v>
      </c>
      <c r="E14" s="47">
        <v>40</v>
      </c>
      <c r="F14" s="47">
        <v>5</v>
      </c>
      <c r="G14" s="47" t="s">
        <v>31</v>
      </c>
      <c r="H14" s="49">
        <f t="shared" si="0"/>
        <v>200</v>
      </c>
    </row>
    <row r="15" spans="1:11" ht="15.75" thickBot="1" x14ac:dyDescent="0.3">
      <c r="A15" s="45">
        <v>1012</v>
      </c>
      <c r="B15" s="46" t="s">
        <v>32</v>
      </c>
      <c r="C15" s="46" t="s">
        <v>17</v>
      </c>
      <c r="D15" s="46" t="s">
        <v>22</v>
      </c>
      <c r="E15" s="47">
        <v>35</v>
      </c>
      <c r="F15" s="47">
        <v>8</v>
      </c>
      <c r="G15" s="47" t="s">
        <v>33</v>
      </c>
      <c r="H15" s="49">
        <f t="shared" si="0"/>
        <v>280</v>
      </c>
    </row>
    <row r="16" spans="1:11" ht="30.75" thickBot="1" x14ac:dyDescent="0.3">
      <c r="A16" s="45">
        <v>1013</v>
      </c>
      <c r="B16" s="46" t="s">
        <v>34</v>
      </c>
      <c r="C16" s="46" t="s">
        <v>8</v>
      </c>
      <c r="D16" s="46" t="s">
        <v>9</v>
      </c>
      <c r="E16" s="47">
        <v>14</v>
      </c>
      <c r="F16" s="47">
        <v>50</v>
      </c>
      <c r="G16" s="47" t="s">
        <v>35</v>
      </c>
      <c r="H16" s="49">
        <f t="shared" si="0"/>
        <v>700</v>
      </c>
    </row>
    <row r="17" spans="1:8" ht="15.75" thickBot="1" x14ac:dyDescent="0.3">
      <c r="A17" s="45">
        <v>1014</v>
      </c>
      <c r="B17" s="46" t="s">
        <v>36</v>
      </c>
      <c r="C17" s="46" t="s">
        <v>11</v>
      </c>
      <c r="D17" s="46" t="s">
        <v>12</v>
      </c>
      <c r="E17" s="47">
        <v>28</v>
      </c>
      <c r="F17" s="47">
        <v>10</v>
      </c>
      <c r="G17" s="47" t="s">
        <v>37</v>
      </c>
      <c r="H17" s="49">
        <f t="shared" si="0"/>
        <v>280</v>
      </c>
    </row>
    <row r="18" spans="1:8" ht="15.75" thickBot="1" x14ac:dyDescent="0.3">
      <c r="A18" s="45">
        <v>1015</v>
      </c>
      <c r="B18" s="46" t="s">
        <v>38</v>
      </c>
      <c r="C18" s="46" t="s">
        <v>14</v>
      </c>
      <c r="D18" s="46" t="s">
        <v>15</v>
      </c>
      <c r="E18" s="47">
        <v>12</v>
      </c>
      <c r="F18" s="47">
        <v>25</v>
      </c>
      <c r="G18" s="47" t="s">
        <v>39</v>
      </c>
      <c r="H18" s="49">
        <f t="shared" si="0"/>
        <v>300</v>
      </c>
    </row>
    <row r="19" spans="1:8" ht="15.75" thickBot="1" x14ac:dyDescent="0.3">
      <c r="A19" s="45">
        <v>1016</v>
      </c>
      <c r="B19" s="46" t="s">
        <v>40</v>
      </c>
      <c r="C19" s="46" t="s">
        <v>17</v>
      </c>
      <c r="D19" s="46" t="s">
        <v>19</v>
      </c>
      <c r="E19" s="47">
        <v>25</v>
      </c>
      <c r="F19" s="47">
        <v>5</v>
      </c>
      <c r="G19" s="47" t="s">
        <v>41</v>
      </c>
      <c r="H19" s="49">
        <f t="shared" si="0"/>
        <v>125</v>
      </c>
    </row>
    <row r="20" spans="1:8" ht="15.75" thickBot="1" x14ac:dyDescent="0.3">
      <c r="A20" s="45">
        <v>1017</v>
      </c>
      <c r="B20" s="46" t="s">
        <v>42</v>
      </c>
      <c r="C20" s="46" t="s">
        <v>8</v>
      </c>
      <c r="D20" s="46" t="s">
        <v>22</v>
      </c>
      <c r="E20" s="47">
        <v>20</v>
      </c>
      <c r="F20" s="47">
        <v>8</v>
      </c>
      <c r="G20" s="47" t="s">
        <v>43</v>
      </c>
      <c r="H20" s="49">
        <f t="shared" si="0"/>
        <v>160</v>
      </c>
    </row>
    <row r="21" spans="1:8" ht="30.75" thickBot="1" x14ac:dyDescent="0.3">
      <c r="A21" s="45">
        <v>1018</v>
      </c>
      <c r="B21" s="46" t="s">
        <v>44</v>
      </c>
      <c r="C21" s="46" t="s">
        <v>11</v>
      </c>
      <c r="D21" s="46" t="s">
        <v>9</v>
      </c>
      <c r="E21" s="47">
        <v>10</v>
      </c>
      <c r="F21" s="47">
        <v>50</v>
      </c>
      <c r="G21" s="47" t="s">
        <v>45</v>
      </c>
      <c r="H21" s="49">
        <f t="shared" si="0"/>
        <v>500</v>
      </c>
    </row>
    <row r="22" spans="1:8" ht="15.75" thickBot="1" x14ac:dyDescent="0.3">
      <c r="A22" s="45">
        <v>1019</v>
      </c>
      <c r="B22" s="46" t="s">
        <v>46</v>
      </c>
      <c r="C22" s="46" t="s">
        <v>14</v>
      </c>
      <c r="D22" s="46" t="s">
        <v>12</v>
      </c>
      <c r="E22" s="47">
        <v>15</v>
      </c>
      <c r="F22" s="47">
        <v>10</v>
      </c>
      <c r="G22" s="47" t="s">
        <v>47</v>
      </c>
      <c r="H22" s="49">
        <f t="shared" si="0"/>
        <v>150</v>
      </c>
    </row>
    <row r="23" spans="1:8" ht="15.75" thickBot="1" x14ac:dyDescent="0.3">
      <c r="A23" s="45">
        <v>1020</v>
      </c>
      <c r="B23" s="46" t="s">
        <v>48</v>
      </c>
      <c r="C23" s="46" t="s">
        <v>17</v>
      </c>
      <c r="D23" s="46" t="s">
        <v>15</v>
      </c>
      <c r="E23" s="47">
        <v>18</v>
      </c>
      <c r="F23" s="47">
        <v>25</v>
      </c>
      <c r="G23" s="48">
        <v>45293</v>
      </c>
      <c r="H23" s="49">
        <f t="shared" si="0"/>
        <v>450</v>
      </c>
    </row>
    <row r="24" spans="1:8" ht="30.75" thickBot="1" x14ac:dyDescent="0.3">
      <c r="A24" s="45">
        <v>1021</v>
      </c>
      <c r="B24" s="46" t="s">
        <v>49</v>
      </c>
      <c r="C24" s="46" t="s">
        <v>8</v>
      </c>
      <c r="D24" s="46" t="s">
        <v>9</v>
      </c>
      <c r="E24" s="47">
        <v>9</v>
      </c>
      <c r="F24" s="47">
        <v>50</v>
      </c>
      <c r="G24" s="48">
        <v>45324</v>
      </c>
      <c r="H24" s="49">
        <f t="shared" si="0"/>
        <v>450</v>
      </c>
    </row>
    <row r="25" spans="1:8" ht="15.75" thickBot="1" x14ac:dyDescent="0.3">
      <c r="A25" s="45">
        <v>1022</v>
      </c>
      <c r="B25" s="46" t="s">
        <v>50</v>
      </c>
      <c r="C25" s="46" t="s">
        <v>11</v>
      </c>
      <c r="D25" s="46" t="s">
        <v>19</v>
      </c>
      <c r="E25" s="47">
        <v>35</v>
      </c>
      <c r="F25" s="47">
        <v>5</v>
      </c>
      <c r="G25" s="48">
        <v>45353</v>
      </c>
      <c r="H25" s="49">
        <f t="shared" si="0"/>
        <v>175</v>
      </c>
    </row>
    <row r="26" spans="1:8" ht="15.75" thickBot="1" x14ac:dyDescent="0.3">
      <c r="A26" s="45">
        <v>1023</v>
      </c>
      <c r="B26" s="46" t="s">
        <v>51</v>
      </c>
      <c r="C26" s="46" t="s">
        <v>14</v>
      </c>
      <c r="D26" s="46" t="s">
        <v>22</v>
      </c>
      <c r="E26" s="47">
        <v>30</v>
      </c>
      <c r="F26" s="47">
        <v>8</v>
      </c>
      <c r="G26" s="48">
        <v>45384</v>
      </c>
      <c r="H26" s="49">
        <f t="shared" si="0"/>
        <v>240</v>
      </c>
    </row>
    <row r="27" spans="1:8" ht="30.75" thickBot="1" x14ac:dyDescent="0.3">
      <c r="A27" s="45">
        <v>1024</v>
      </c>
      <c r="B27" s="46" t="s">
        <v>52</v>
      </c>
      <c r="C27" s="46" t="s">
        <v>17</v>
      </c>
      <c r="D27" s="46" t="s">
        <v>9</v>
      </c>
      <c r="E27" s="47">
        <v>11</v>
      </c>
      <c r="F27" s="47">
        <v>50</v>
      </c>
      <c r="G27" s="48">
        <v>45445</v>
      </c>
      <c r="H27" s="49">
        <f t="shared" si="0"/>
        <v>550</v>
      </c>
    </row>
    <row r="28" spans="1:8" ht="15.75" thickBot="1" x14ac:dyDescent="0.3">
      <c r="A28" s="45">
        <v>1025</v>
      </c>
      <c r="B28" s="46" t="s">
        <v>53</v>
      </c>
      <c r="C28" s="46" t="s">
        <v>8</v>
      </c>
      <c r="D28" s="46" t="s">
        <v>12</v>
      </c>
      <c r="E28" s="47">
        <v>14</v>
      </c>
      <c r="F28" s="47">
        <v>10</v>
      </c>
      <c r="G28" s="48">
        <v>45475</v>
      </c>
      <c r="H28" s="49">
        <f t="shared" si="0"/>
        <v>140</v>
      </c>
    </row>
    <row r="29" spans="1:8" ht="15.75" thickBot="1" x14ac:dyDescent="0.3">
      <c r="A29" s="45">
        <v>1026</v>
      </c>
      <c r="B29" s="46" t="s">
        <v>54</v>
      </c>
      <c r="C29" s="46" t="s">
        <v>11</v>
      </c>
      <c r="D29" s="46" t="s">
        <v>15</v>
      </c>
      <c r="E29" s="47">
        <v>16</v>
      </c>
      <c r="F29" s="47">
        <v>25</v>
      </c>
      <c r="G29" s="48">
        <v>45506</v>
      </c>
      <c r="H29" s="49">
        <f t="shared" si="0"/>
        <v>400</v>
      </c>
    </row>
    <row r="30" spans="1:8" ht="15.75" thickBot="1" x14ac:dyDescent="0.3">
      <c r="A30" s="45">
        <v>1027</v>
      </c>
      <c r="B30" s="46" t="s">
        <v>55</v>
      </c>
      <c r="C30" s="46" t="s">
        <v>14</v>
      </c>
      <c r="D30" s="46" t="s">
        <v>19</v>
      </c>
      <c r="E30" s="47">
        <v>22</v>
      </c>
      <c r="F30" s="47">
        <v>5</v>
      </c>
      <c r="G30" s="48">
        <v>45537</v>
      </c>
      <c r="H30" s="49">
        <f t="shared" si="0"/>
        <v>110</v>
      </c>
    </row>
    <row r="31" spans="1:8" ht="15.75" thickBot="1" x14ac:dyDescent="0.3">
      <c r="A31" s="45">
        <v>1028</v>
      </c>
      <c r="B31" s="46" t="s">
        <v>56</v>
      </c>
      <c r="C31" s="46" t="s">
        <v>17</v>
      </c>
      <c r="D31" s="46" t="s">
        <v>22</v>
      </c>
      <c r="E31" s="47">
        <v>27</v>
      </c>
      <c r="F31" s="47">
        <v>8</v>
      </c>
      <c r="G31" s="48">
        <v>45567</v>
      </c>
      <c r="H31" s="49">
        <f t="shared" si="0"/>
        <v>216</v>
      </c>
    </row>
    <row r="32" spans="1:8" ht="30.75" thickBot="1" x14ac:dyDescent="0.3">
      <c r="A32" s="45">
        <v>1029</v>
      </c>
      <c r="B32" s="46" t="s">
        <v>57</v>
      </c>
      <c r="C32" s="46" t="s">
        <v>8</v>
      </c>
      <c r="D32" s="46" t="s">
        <v>9</v>
      </c>
      <c r="E32" s="47">
        <v>13</v>
      </c>
      <c r="F32" s="47">
        <v>50</v>
      </c>
      <c r="G32" s="48">
        <v>45628</v>
      </c>
      <c r="H32" s="49">
        <f t="shared" si="0"/>
        <v>650</v>
      </c>
    </row>
    <row r="33" spans="1:8" ht="15.75" thickBot="1" x14ac:dyDescent="0.3">
      <c r="A33" s="45">
        <v>1030</v>
      </c>
      <c r="B33" s="46" t="s">
        <v>58</v>
      </c>
      <c r="C33" s="46" t="s">
        <v>11</v>
      </c>
      <c r="D33" s="46" t="s">
        <v>12</v>
      </c>
      <c r="E33" s="47">
        <v>32</v>
      </c>
      <c r="F33" s="47">
        <v>10</v>
      </c>
      <c r="G33" s="47" t="s">
        <v>59</v>
      </c>
      <c r="H33" s="49">
        <f t="shared" si="0"/>
        <v>320</v>
      </c>
    </row>
    <row r="34" spans="1:8" ht="15.75" thickBot="1" x14ac:dyDescent="0.3">
      <c r="A34" s="45">
        <v>1031</v>
      </c>
      <c r="B34" s="46" t="s">
        <v>60</v>
      </c>
      <c r="C34" s="46" t="s">
        <v>14</v>
      </c>
      <c r="D34" s="46" t="s">
        <v>15</v>
      </c>
      <c r="E34" s="47">
        <v>10</v>
      </c>
      <c r="F34" s="47">
        <v>25</v>
      </c>
      <c r="G34" s="47" t="s">
        <v>61</v>
      </c>
      <c r="H34" s="49">
        <f t="shared" si="0"/>
        <v>250</v>
      </c>
    </row>
    <row r="35" spans="1:8" ht="15.75" thickBot="1" x14ac:dyDescent="0.3">
      <c r="A35" s="45">
        <v>1032</v>
      </c>
      <c r="B35" s="46" t="s">
        <v>62</v>
      </c>
      <c r="C35" s="46" t="s">
        <v>17</v>
      </c>
      <c r="D35" s="46" t="s">
        <v>19</v>
      </c>
      <c r="E35" s="47">
        <v>18</v>
      </c>
      <c r="F35" s="47">
        <v>5</v>
      </c>
      <c r="G35" s="47" t="s">
        <v>63</v>
      </c>
      <c r="H35" s="49">
        <f t="shared" si="0"/>
        <v>90</v>
      </c>
    </row>
    <row r="36" spans="1:8" ht="15.75" thickBot="1" x14ac:dyDescent="0.3">
      <c r="A36" s="45">
        <v>1033</v>
      </c>
      <c r="B36" s="46" t="s">
        <v>64</v>
      </c>
      <c r="C36" s="46" t="s">
        <v>8</v>
      </c>
      <c r="D36" s="46" t="s">
        <v>22</v>
      </c>
      <c r="E36" s="47">
        <v>22</v>
      </c>
      <c r="F36" s="47">
        <v>8</v>
      </c>
      <c r="G36" s="47" t="s">
        <v>65</v>
      </c>
      <c r="H36" s="49">
        <f t="shared" si="0"/>
        <v>176</v>
      </c>
    </row>
    <row r="37" spans="1:8" ht="30.75" thickBot="1" x14ac:dyDescent="0.3">
      <c r="A37" s="45">
        <v>1034</v>
      </c>
      <c r="B37" s="46" t="s">
        <v>66</v>
      </c>
      <c r="C37" s="46" t="s">
        <v>11</v>
      </c>
      <c r="D37" s="46" t="s">
        <v>9</v>
      </c>
      <c r="E37" s="47">
        <v>17</v>
      </c>
      <c r="F37" s="47">
        <v>50</v>
      </c>
      <c r="G37" s="47" t="s">
        <v>67</v>
      </c>
      <c r="H37" s="49">
        <f t="shared" si="0"/>
        <v>850</v>
      </c>
    </row>
    <row r="38" spans="1:8" ht="15.75" thickBot="1" x14ac:dyDescent="0.3">
      <c r="A38" s="45">
        <v>1035</v>
      </c>
      <c r="B38" s="46" t="s">
        <v>68</v>
      </c>
      <c r="C38" s="46" t="s">
        <v>14</v>
      </c>
      <c r="D38" s="46" t="s">
        <v>12</v>
      </c>
      <c r="E38" s="47">
        <v>19</v>
      </c>
      <c r="F38" s="47">
        <v>10</v>
      </c>
      <c r="G38" s="47" t="s">
        <v>69</v>
      </c>
      <c r="H38" s="49">
        <f t="shared" si="0"/>
        <v>190</v>
      </c>
    </row>
    <row r="39" spans="1:8" ht="15.75" thickBot="1" x14ac:dyDescent="0.3">
      <c r="A39" s="45">
        <v>1036</v>
      </c>
      <c r="B39" s="46" t="s">
        <v>70</v>
      </c>
      <c r="C39" s="46" t="s">
        <v>17</v>
      </c>
      <c r="D39" s="46" t="s">
        <v>15</v>
      </c>
      <c r="E39" s="47">
        <v>15</v>
      </c>
      <c r="F39" s="47">
        <v>25</v>
      </c>
      <c r="G39" s="47" t="s">
        <v>71</v>
      </c>
      <c r="H39" s="49">
        <f t="shared" si="0"/>
        <v>375</v>
      </c>
    </row>
    <row r="40" spans="1:8" ht="15.75" thickBot="1" x14ac:dyDescent="0.3">
      <c r="A40" s="45">
        <v>1037</v>
      </c>
      <c r="B40" s="46" t="s">
        <v>72</v>
      </c>
      <c r="C40" s="46" t="s">
        <v>8</v>
      </c>
      <c r="D40" s="46" t="s">
        <v>19</v>
      </c>
      <c r="E40" s="47">
        <v>28</v>
      </c>
      <c r="F40" s="47">
        <v>5</v>
      </c>
      <c r="G40" s="47" t="s">
        <v>73</v>
      </c>
      <c r="H40" s="49">
        <f t="shared" si="0"/>
        <v>140</v>
      </c>
    </row>
    <row r="41" spans="1:8" ht="15.75" thickBot="1" x14ac:dyDescent="0.3">
      <c r="A41" s="45">
        <v>1038</v>
      </c>
      <c r="B41" s="46" t="s">
        <v>74</v>
      </c>
      <c r="C41" s="46" t="s">
        <v>11</v>
      </c>
      <c r="D41" s="46" t="s">
        <v>22</v>
      </c>
      <c r="E41" s="47">
        <v>24</v>
      </c>
      <c r="F41" s="47">
        <v>8</v>
      </c>
      <c r="G41" s="47" t="s">
        <v>75</v>
      </c>
      <c r="H41" s="49">
        <f t="shared" si="0"/>
        <v>192</v>
      </c>
    </row>
    <row r="42" spans="1:8" ht="30.75" thickBot="1" x14ac:dyDescent="0.3">
      <c r="A42" s="45">
        <v>1039</v>
      </c>
      <c r="B42" s="46" t="s">
        <v>76</v>
      </c>
      <c r="C42" s="46" t="s">
        <v>14</v>
      </c>
      <c r="D42" s="46" t="s">
        <v>9</v>
      </c>
      <c r="E42" s="47">
        <v>16</v>
      </c>
      <c r="F42" s="47">
        <v>50</v>
      </c>
      <c r="G42" s="47" t="s">
        <v>77</v>
      </c>
      <c r="H42" s="49">
        <f t="shared" si="0"/>
        <v>800</v>
      </c>
    </row>
    <row r="43" spans="1:8" ht="15.75" thickBot="1" x14ac:dyDescent="0.3">
      <c r="A43" s="45">
        <v>1040</v>
      </c>
      <c r="B43" s="46" t="s">
        <v>78</v>
      </c>
      <c r="C43" s="46" t="s">
        <v>17</v>
      </c>
      <c r="D43" s="46" t="s">
        <v>12</v>
      </c>
      <c r="E43" s="47">
        <v>27</v>
      </c>
      <c r="F43" s="47">
        <v>10</v>
      </c>
      <c r="G43" s="47" t="s">
        <v>79</v>
      </c>
      <c r="H43" s="49">
        <f t="shared" si="0"/>
        <v>270</v>
      </c>
    </row>
    <row r="44" spans="1:8" ht="15.75" thickBot="1" x14ac:dyDescent="0.3">
      <c r="A44" s="45">
        <v>1041</v>
      </c>
      <c r="B44" s="46" t="s">
        <v>80</v>
      </c>
      <c r="C44" s="46" t="s">
        <v>8</v>
      </c>
      <c r="D44" s="46" t="s">
        <v>15</v>
      </c>
      <c r="E44" s="47">
        <v>21</v>
      </c>
      <c r="F44" s="47">
        <v>25</v>
      </c>
      <c r="G44" s="47" t="s">
        <v>81</v>
      </c>
      <c r="H44" s="49">
        <f t="shared" si="0"/>
        <v>525</v>
      </c>
    </row>
    <row r="45" spans="1:8" ht="15.75" thickBot="1" x14ac:dyDescent="0.3">
      <c r="A45" s="45">
        <v>1042</v>
      </c>
      <c r="B45" s="46" t="s">
        <v>82</v>
      </c>
      <c r="C45" s="46" t="s">
        <v>11</v>
      </c>
      <c r="D45" s="46" t="s">
        <v>19</v>
      </c>
      <c r="E45" s="47">
        <v>30</v>
      </c>
      <c r="F45" s="47">
        <v>5</v>
      </c>
      <c r="G45" s="47" t="s">
        <v>83</v>
      </c>
      <c r="H45" s="49">
        <f t="shared" si="0"/>
        <v>150</v>
      </c>
    </row>
    <row r="46" spans="1:8" ht="15.75" thickBot="1" x14ac:dyDescent="0.3">
      <c r="A46" s="45">
        <v>1043</v>
      </c>
      <c r="B46" s="46" t="s">
        <v>84</v>
      </c>
      <c r="C46" s="46" t="s">
        <v>14</v>
      </c>
      <c r="D46" s="46" t="s">
        <v>22</v>
      </c>
      <c r="E46" s="47">
        <v>26</v>
      </c>
      <c r="F46" s="47">
        <v>8</v>
      </c>
      <c r="G46" s="48">
        <v>45294</v>
      </c>
      <c r="H46" s="49">
        <f t="shared" si="0"/>
        <v>208</v>
      </c>
    </row>
    <row r="47" spans="1:8" ht="30.75" thickBot="1" x14ac:dyDescent="0.3">
      <c r="A47" s="45">
        <v>1044</v>
      </c>
      <c r="B47" s="46" t="s">
        <v>85</v>
      </c>
      <c r="C47" s="46" t="s">
        <v>17</v>
      </c>
      <c r="D47" s="46" t="s">
        <v>9</v>
      </c>
      <c r="E47" s="47">
        <v>14</v>
      </c>
      <c r="F47" s="47">
        <v>50</v>
      </c>
      <c r="G47" s="48">
        <v>45325</v>
      </c>
      <c r="H47" s="49">
        <f t="shared" si="0"/>
        <v>700</v>
      </c>
    </row>
    <row r="48" spans="1:8" ht="15.75" thickBot="1" x14ac:dyDescent="0.3">
      <c r="A48" s="45">
        <v>1045</v>
      </c>
      <c r="B48" s="46" t="s">
        <v>86</v>
      </c>
      <c r="C48" s="46" t="s">
        <v>8</v>
      </c>
      <c r="D48" s="46" t="s">
        <v>12</v>
      </c>
      <c r="E48" s="47">
        <v>20</v>
      </c>
      <c r="F48" s="47">
        <v>10</v>
      </c>
      <c r="G48" s="48">
        <v>45354</v>
      </c>
      <c r="H48" s="49">
        <f t="shared" si="0"/>
        <v>200</v>
      </c>
    </row>
    <row r="49" spans="1:8" ht="15.75" thickBot="1" x14ac:dyDescent="0.3">
      <c r="A49" s="45">
        <v>1046</v>
      </c>
      <c r="B49" s="46" t="s">
        <v>87</v>
      </c>
      <c r="C49" s="46" t="s">
        <v>11</v>
      </c>
      <c r="D49" s="46" t="s">
        <v>15</v>
      </c>
      <c r="E49" s="47">
        <v>17</v>
      </c>
      <c r="F49" s="47">
        <v>25</v>
      </c>
      <c r="G49" s="48">
        <v>45385</v>
      </c>
      <c r="H49" s="49">
        <f t="shared" si="0"/>
        <v>425</v>
      </c>
    </row>
    <row r="50" spans="1:8" ht="15.75" thickBot="1" x14ac:dyDescent="0.3">
      <c r="A50" s="45">
        <v>1047</v>
      </c>
      <c r="B50" s="46" t="s">
        <v>88</v>
      </c>
      <c r="C50" s="46" t="s">
        <v>14</v>
      </c>
      <c r="D50" s="46" t="s">
        <v>19</v>
      </c>
      <c r="E50" s="47">
        <v>19</v>
      </c>
      <c r="F50" s="47">
        <v>5</v>
      </c>
      <c r="G50" s="48">
        <v>45415</v>
      </c>
      <c r="H50" s="49">
        <f t="shared" si="0"/>
        <v>95</v>
      </c>
    </row>
    <row r="51" spans="1:8" ht="15.75" thickBot="1" x14ac:dyDescent="0.3">
      <c r="A51" s="45">
        <v>1048</v>
      </c>
      <c r="B51" s="46" t="s">
        <v>89</v>
      </c>
      <c r="C51" s="46" t="s">
        <v>17</v>
      </c>
      <c r="D51" s="46" t="s">
        <v>22</v>
      </c>
      <c r="E51" s="47">
        <v>32</v>
      </c>
      <c r="F51" s="47">
        <v>8</v>
      </c>
      <c r="G51" s="48">
        <v>45446</v>
      </c>
      <c r="H51" s="49">
        <f t="shared" si="0"/>
        <v>256</v>
      </c>
    </row>
    <row r="52" spans="1:8" ht="30.75" thickBot="1" x14ac:dyDescent="0.3">
      <c r="A52" s="45">
        <v>1049</v>
      </c>
      <c r="B52" s="46" t="s">
        <v>90</v>
      </c>
      <c r="C52" s="46" t="s">
        <v>8</v>
      </c>
      <c r="D52" s="46" t="s">
        <v>9</v>
      </c>
      <c r="E52" s="47">
        <v>12</v>
      </c>
      <c r="F52" s="47">
        <v>50</v>
      </c>
      <c r="G52" s="48">
        <v>45476</v>
      </c>
      <c r="H52" s="49">
        <f t="shared" si="0"/>
        <v>600</v>
      </c>
    </row>
    <row r="53" spans="1:8" ht="15.75" thickBot="1" x14ac:dyDescent="0.3">
      <c r="A53" s="45">
        <v>1050</v>
      </c>
      <c r="B53" s="46" t="s">
        <v>91</v>
      </c>
      <c r="C53" s="46" t="s">
        <v>11</v>
      </c>
      <c r="D53" s="46" t="s">
        <v>12</v>
      </c>
      <c r="E53" s="47">
        <v>25</v>
      </c>
      <c r="F53" s="47">
        <v>10</v>
      </c>
      <c r="G53" s="48">
        <v>45507</v>
      </c>
      <c r="H53" s="49">
        <f t="shared" si="0"/>
        <v>250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EA33-2A62-4C7A-9FAE-4E10BE2D6266}">
  <dimension ref="A1:K53"/>
  <sheetViews>
    <sheetView workbookViewId="0">
      <selection activeCell="K17" sqref="K17"/>
    </sheetView>
  </sheetViews>
  <sheetFormatPr defaultRowHeight="15" x14ac:dyDescent="0.25"/>
  <cols>
    <col min="2" max="2" width="15" customWidth="1"/>
    <col min="7" max="7" width="15.28515625" customWidth="1"/>
  </cols>
  <sheetData>
    <row r="1" spans="1:11" ht="21" x14ac:dyDescent="0.35">
      <c r="A1" s="50" t="s">
        <v>126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.75" thickBot="1" x14ac:dyDescent="0.3"/>
    <row r="3" spans="1:11" ht="30.75" thickBot="1" x14ac:dyDescent="0.3">
      <c r="A3" s="41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42" t="s">
        <v>5</v>
      </c>
      <c r="G3" s="42" t="s">
        <v>6</v>
      </c>
      <c r="H3" s="42" t="s">
        <v>92</v>
      </c>
    </row>
    <row r="4" spans="1:11" ht="30.75" thickBot="1" x14ac:dyDescent="0.3">
      <c r="A4" s="45">
        <v>1001</v>
      </c>
      <c r="B4" s="46" t="s">
        <v>7</v>
      </c>
      <c r="C4" s="46" t="s">
        <v>8</v>
      </c>
      <c r="D4" s="46" t="s">
        <v>9</v>
      </c>
      <c r="E4" s="47">
        <v>10</v>
      </c>
      <c r="F4" s="47">
        <v>50</v>
      </c>
      <c r="G4" s="48">
        <v>45413</v>
      </c>
      <c r="H4" s="49">
        <f>E4*F4</f>
        <v>500</v>
      </c>
    </row>
    <row r="5" spans="1:11" ht="30.75" thickBot="1" x14ac:dyDescent="0.3">
      <c r="A5" s="45">
        <v>1002</v>
      </c>
      <c r="B5" s="46" t="s">
        <v>10</v>
      </c>
      <c r="C5" s="46" t="s">
        <v>11</v>
      </c>
      <c r="D5" s="46" t="s">
        <v>12</v>
      </c>
      <c r="E5" s="47">
        <v>20</v>
      </c>
      <c r="F5" s="47">
        <v>10</v>
      </c>
      <c r="G5" s="48">
        <v>45444</v>
      </c>
      <c r="H5" s="49">
        <f t="shared" ref="H5:H53" si="0">E5*F5</f>
        <v>200</v>
      </c>
    </row>
    <row r="6" spans="1:11" ht="30.75" thickBot="1" x14ac:dyDescent="0.3">
      <c r="A6" s="45">
        <v>1003</v>
      </c>
      <c r="B6" s="46" t="s">
        <v>13</v>
      </c>
      <c r="C6" s="46" t="s">
        <v>14</v>
      </c>
      <c r="D6" s="46" t="s">
        <v>15</v>
      </c>
      <c r="E6" s="47">
        <v>15</v>
      </c>
      <c r="F6" s="47">
        <v>25</v>
      </c>
      <c r="G6" s="48">
        <v>45474</v>
      </c>
      <c r="H6" s="49">
        <f t="shared" si="0"/>
        <v>375</v>
      </c>
    </row>
    <row r="7" spans="1:11" ht="30.75" thickBot="1" x14ac:dyDescent="0.3">
      <c r="A7" s="45">
        <v>1004</v>
      </c>
      <c r="B7" s="46" t="s">
        <v>16</v>
      </c>
      <c r="C7" s="46" t="s">
        <v>17</v>
      </c>
      <c r="D7" s="46" t="s">
        <v>9</v>
      </c>
      <c r="E7" s="47">
        <v>5</v>
      </c>
      <c r="F7" s="47">
        <v>50</v>
      </c>
      <c r="G7" s="48">
        <v>45505</v>
      </c>
      <c r="H7" s="49">
        <f t="shared" si="0"/>
        <v>250</v>
      </c>
    </row>
    <row r="8" spans="1:11" ht="30.75" thickBot="1" x14ac:dyDescent="0.3">
      <c r="A8" s="45">
        <v>1005</v>
      </c>
      <c r="B8" s="46" t="s">
        <v>18</v>
      </c>
      <c r="C8" s="46" t="s">
        <v>8</v>
      </c>
      <c r="D8" s="46" t="s">
        <v>19</v>
      </c>
      <c r="E8" s="47">
        <v>30</v>
      </c>
      <c r="F8" s="47">
        <v>5</v>
      </c>
      <c r="G8" s="48">
        <v>45566</v>
      </c>
      <c r="H8" s="49">
        <f t="shared" si="0"/>
        <v>150</v>
      </c>
    </row>
    <row r="9" spans="1:11" ht="30.75" thickBot="1" x14ac:dyDescent="0.3">
      <c r="A9" s="45">
        <v>1006</v>
      </c>
      <c r="B9" s="46" t="s">
        <v>20</v>
      </c>
      <c r="C9" s="46" t="s">
        <v>11</v>
      </c>
      <c r="D9" s="46" t="s">
        <v>9</v>
      </c>
      <c r="E9" s="47">
        <v>12</v>
      </c>
      <c r="F9" s="47">
        <v>50</v>
      </c>
      <c r="G9" s="48">
        <v>45597</v>
      </c>
      <c r="H9" s="49">
        <f t="shared" si="0"/>
        <v>600</v>
      </c>
    </row>
    <row r="10" spans="1:11" ht="30.75" thickBot="1" x14ac:dyDescent="0.3">
      <c r="A10" s="45">
        <v>1007</v>
      </c>
      <c r="B10" s="46" t="s">
        <v>21</v>
      </c>
      <c r="C10" s="46" t="s">
        <v>14</v>
      </c>
      <c r="D10" s="46" t="s">
        <v>22</v>
      </c>
      <c r="E10" s="47">
        <v>25</v>
      </c>
      <c r="F10" s="47">
        <v>8</v>
      </c>
      <c r="G10" s="47" t="s">
        <v>23</v>
      </c>
      <c r="H10" s="49">
        <f t="shared" si="0"/>
        <v>200</v>
      </c>
    </row>
    <row r="11" spans="1:11" ht="30.75" thickBot="1" x14ac:dyDescent="0.3">
      <c r="A11" s="45">
        <v>1008</v>
      </c>
      <c r="B11" s="46" t="s">
        <v>24</v>
      </c>
      <c r="C11" s="46" t="s">
        <v>17</v>
      </c>
      <c r="D11" s="46" t="s">
        <v>12</v>
      </c>
      <c r="E11" s="47">
        <v>18</v>
      </c>
      <c r="F11" s="47">
        <v>10</v>
      </c>
      <c r="G11" s="47" t="s">
        <v>25</v>
      </c>
      <c r="H11" s="49">
        <f t="shared" si="0"/>
        <v>180</v>
      </c>
    </row>
    <row r="12" spans="1:11" ht="30.75" thickBot="1" x14ac:dyDescent="0.3">
      <c r="A12" s="45">
        <v>1009</v>
      </c>
      <c r="B12" s="46" t="s">
        <v>26</v>
      </c>
      <c r="C12" s="46" t="s">
        <v>8</v>
      </c>
      <c r="D12" s="46" t="s">
        <v>15</v>
      </c>
      <c r="E12" s="47">
        <v>22</v>
      </c>
      <c r="F12" s="47">
        <v>25</v>
      </c>
      <c r="G12" s="47" t="s">
        <v>27</v>
      </c>
      <c r="H12" s="49">
        <f t="shared" si="0"/>
        <v>550</v>
      </c>
    </row>
    <row r="13" spans="1:11" ht="30.75" thickBot="1" x14ac:dyDescent="0.3">
      <c r="A13" s="45">
        <v>1010</v>
      </c>
      <c r="B13" s="46" t="s">
        <v>28</v>
      </c>
      <c r="C13" s="46" t="s">
        <v>11</v>
      </c>
      <c r="D13" s="46" t="s">
        <v>9</v>
      </c>
      <c r="E13" s="47">
        <v>8</v>
      </c>
      <c r="F13" s="47">
        <v>50</v>
      </c>
      <c r="G13" s="47" t="s">
        <v>29</v>
      </c>
      <c r="H13" s="49">
        <f t="shared" si="0"/>
        <v>400</v>
      </c>
    </row>
    <row r="14" spans="1:11" ht="30.75" thickBot="1" x14ac:dyDescent="0.3">
      <c r="A14" s="45">
        <v>1011</v>
      </c>
      <c r="B14" s="46" t="s">
        <v>30</v>
      </c>
      <c r="C14" s="46" t="s">
        <v>14</v>
      </c>
      <c r="D14" s="46" t="s">
        <v>19</v>
      </c>
      <c r="E14" s="47">
        <v>40</v>
      </c>
      <c r="F14" s="47">
        <v>5</v>
      </c>
      <c r="G14" s="47" t="s">
        <v>31</v>
      </c>
      <c r="H14" s="49">
        <f t="shared" si="0"/>
        <v>200</v>
      </c>
    </row>
    <row r="15" spans="1:11" ht="30.75" thickBot="1" x14ac:dyDescent="0.3">
      <c r="A15" s="45">
        <v>1012</v>
      </c>
      <c r="B15" s="46" t="s">
        <v>32</v>
      </c>
      <c r="C15" s="46" t="s">
        <v>17</v>
      </c>
      <c r="D15" s="46" t="s">
        <v>22</v>
      </c>
      <c r="E15" s="47">
        <v>35</v>
      </c>
      <c r="F15" s="47">
        <v>8</v>
      </c>
      <c r="G15" s="47" t="s">
        <v>33</v>
      </c>
      <c r="H15" s="49">
        <f t="shared" si="0"/>
        <v>280</v>
      </c>
    </row>
    <row r="16" spans="1:11" ht="30.75" thickBot="1" x14ac:dyDescent="0.3">
      <c r="A16" s="45">
        <v>1013</v>
      </c>
      <c r="B16" s="46" t="s">
        <v>34</v>
      </c>
      <c r="C16" s="46" t="s">
        <v>8</v>
      </c>
      <c r="D16" s="46" t="s">
        <v>9</v>
      </c>
      <c r="E16" s="47">
        <v>14</v>
      </c>
      <c r="F16" s="47">
        <v>50</v>
      </c>
      <c r="G16" s="47" t="s">
        <v>35</v>
      </c>
      <c r="H16" s="49">
        <f t="shared" si="0"/>
        <v>700</v>
      </c>
    </row>
    <row r="17" spans="1:8" ht="30.75" thickBot="1" x14ac:dyDescent="0.3">
      <c r="A17" s="45">
        <v>1014</v>
      </c>
      <c r="B17" s="46" t="s">
        <v>36</v>
      </c>
      <c r="C17" s="46" t="s">
        <v>11</v>
      </c>
      <c r="D17" s="46" t="s">
        <v>12</v>
      </c>
      <c r="E17" s="47">
        <v>28</v>
      </c>
      <c r="F17" s="47">
        <v>10</v>
      </c>
      <c r="G17" s="47" t="s">
        <v>37</v>
      </c>
      <c r="H17" s="49">
        <f t="shared" si="0"/>
        <v>280</v>
      </c>
    </row>
    <row r="18" spans="1:8" ht="30.75" thickBot="1" x14ac:dyDescent="0.3">
      <c r="A18" s="45">
        <v>1015</v>
      </c>
      <c r="B18" s="46" t="s">
        <v>38</v>
      </c>
      <c r="C18" s="46" t="s">
        <v>14</v>
      </c>
      <c r="D18" s="46" t="s">
        <v>15</v>
      </c>
      <c r="E18" s="47">
        <v>12</v>
      </c>
      <c r="F18" s="47">
        <v>25</v>
      </c>
      <c r="G18" s="47" t="s">
        <v>39</v>
      </c>
      <c r="H18" s="49">
        <f t="shared" si="0"/>
        <v>300</v>
      </c>
    </row>
    <row r="19" spans="1:8" ht="30.75" thickBot="1" x14ac:dyDescent="0.3">
      <c r="A19" s="45">
        <v>1016</v>
      </c>
      <c r="B19" s="46" t="s">
        <v>40</v>
      </c>
      <c r="C19" s="46" t="s">
        <v>17</v>
      </c>
      <c r="D19" s="46" t="s">
        <v>19</v>
      </c>
      <c r="E19" s="47">
        <v>25</v>
      </c>
      <c r="F19" s="47">
        <v>5</v>
      </c>
      <c r="G19" s="47" t="s">
        <v>41</v>
      </c>
      <c r="H19" s="49">
        <f t="shared" si="0"/>
        <v>125</v>
      </c>
    </row>
    <row r="20" spans="1:8" ht="30.75" thickBot="1" x14ac:dyDescent="0.3">
      <c r="A20" s="45">
        <v>1017</v>
      </c>
      <c r="B20" s="46" t="s">
        <v>42</v>
      </c>
      <c r="C20" s="46" t="s">
        <v>8</v>
      </c>
      <c r="D20" s="46" t="s">
        <v>22</v>
      </c>
      <c r="E20" s="47">
        <v>20</v>
      </c>
      <c r="F20" s="47">
        <v>8</v>
      </c>
      <c r="G20" s="47" t="s">
        <v>43</v>
      </c>
      <c r="H20" s="49">
        <f t="shared" si="0"/>
        <v>160</v>
      </c>
    </row>
    <row r="21" spans="1:8" ht="30.75" thickBot="1" x14ac:dyDescent="0.3">
      <c r="A21" s="45">
        <v>1018</v>
      </c>
      <c r="B21" s="46" t="s">
        <v>44</v>
      </c>
      <c r="C21" s="46" t="s">
        <v>11</v>
      </c>
      <c r="D21" s="46" t="s">
        <v>9</v>
      </c>
      <c r="E21" s="47">
        <v>10</v>
      </c>
      <c r="F21" s="47">
        <v>50</v>
      </c>
      <c r="G21" s="47" t="s">
        <v>45</v>
      </c>
      <c r="H21" s="49">
        <f t="shared" si="0"/>
        <v>500</v>
      </c>
    </row>
    <row r="22" spans="1:8" ht="30.75" thickBot="1" x14ac:dyDescent="0.3">
      <c r="A22" s="45">
        <v>1019</v>
      </c>
      <c r="B22" s="46" t="s">
        <v>46</v>
      </c>
      <c r="C22" s="46" t="s">
        <v>14</v>
      </c>
      <c r="D22" s="46" t="s">
        <v>12</v>
      </c>
      <c r="E22" s="47">
        <v>15</v>
      </c>
      <c r="F22" s="47">
        <v>10</v>
      </c>
      <c r="G22" s="47" t="s">
        <v>47</v>
      </c>
      <c r="H22" s="49">
        <f t="shared" si="0"/>
        <v>150</v>
      </c>
    </row>
    <row r="23" spans="1:8" ht="30.75" thickBot="1" x14ac:dyDescent="0.3">
      <c r="A23" s="45">
        <v>1020</v>
      </c>
      <c r="B23" s="46" t="s">
        <v>48</v>
      </c>
      <c r="C23" s="46" t="s">
        <v>17</v>
      </c>
      <c r="D23" s="46" t="s">
        <v>15</v>
      </c>
      <c r="E23" s="47">
        <v>18</v>
      </c>
      <c r="F23" s="47">
        <v>25</v>
      </c>
      <c r="G23" s="48">
        <v>45293</v>
      </c>
      <c r="H23" s="49">
        <f t="shared" si="0"/>
        <v>450</v>
      </c>
    </row>
    <row r="24" spans="1:8" ht="30.75" thickBot="1" x14ac:dyDescent="0.3">
      <c r="A24" s="45">
        <v>1021</v>
      </c>
      <c r="B24" s="46" t="s">
        <v>49</v>
      </c>
      <c r="C24" s="46" t="s">
        <v>8</v>
      </c>
      <c r="D24" s="46" t="s">
        <v>9</v>
      </c>
      <c r="E24" s="47">
        <v>9</v>
      </c>
      <c r="F24" s="47">
        <v>50</v>
      </c>
      <c r="G24" s="48">
        <v>45324</v>
      </c>
      <c r="H24" s="49">
        <f t="shared" si="0"/>
        <v>450</v>
      </c>
    </row>
    <row r="25" spans="1:8" ht="30.75" thickBot="1" x14ac:dyDescent="0.3">
      <c r="A25" s="45">
        <v>1022</v>
      </c>
      <c r="B25" s="46" t="s">
        <v>50</v>
      </c>
      <c r="C25" s="46" t="s">
        <v>11</v>
      </c>
      <c r="D25" s="46" t="s">
        <v>19</v>
      </c>
      <c r="E25" s="47">
        <v>35</v>
      </c>
      <c r="F25" s="47">
        <v>5</v>
      </c>
      <c r="G25" s="48">
        <v>45353</v>
      </c>
      <c r="H25" s="49">
        <f t="shared" si="0"/>
        <v>175</v>
      </c>
    </row>
    <row r="26" spans="1:8" ht="30.75" thickBot="1" x14ac:dyDescent="0.3">
      <c r="A26" s="45">
        <v>1023</v>
      </c>
      <c r="B26" s="46" t="s">
        <v>51</v>
      </c>
      <c r="C26" s="46" t="s">
        <v>14</v>
      </c>
      <c r="D26" s="46" t="s">
        <v>22</v>
      </c>
      <c r="E26" s="47">
        <v>30</v>
      </c>
      <c r="F26" s="47">
        <v>8</v>
      </c>
      <c r="G26" s="48">
        <v>45384</v>
      </c>
      <c r="H26" s="49">
        <f t="shared" si="0"/>
        <v>240</v>
      </c>
    </row>
    <row r="27" spans="1:8" ht="30.75" thickBot="1" x14ac:dyDescent="0.3">
      <c r="A27" s="45">
        <v>1024</v>
      </c>
      <c r="B27" s="46" t="s">
        <v>52</v>
      </c>
      <c r="C27" s="46" t="s">
        <v>17</v>
      </c>
      <c r="D27" s="46" t="s">
        <v>9</v>
      </c>
      <c r="E27" s="47">
        <v>11</v>
      </c>
      <c r="F27" s="47">
        <v>50</v>
      </c>
      <c r="G27" s="48">
        <v>45445</v>
      </c>
      <c r="H27" s="49">
        <f t="shared" si="0"/>
        <v>550</v>
      </c>
    </row>
    <row r="28" spans="1:8" ht="30.75" thickBot="1" x14ac:dyDescent="0.3">
      <c r="A28" s="45">
        <v>1025</v>
      </c>
      <c r="B28" s="46" t="s">
        <v>53</v>
      </c>
      <c r="C28" s="46" t="s">
        <v>8</v>
      </c>
      <c r="D28" s="46" t="s">
        <v>12</v>
      </c>
      <c r="E28" s="47">
        <v>14</v>
      </c>
      <c r="F28" s="47">
        <v>10</v>
      </c>
      <c r="G28" s="48">
        <v>45475</v>
      </c>
      <c r="H28" s="49">
        <f t="shared" si="0"/>
        <v>140</v>
      </c>
    </row>
    <row r="29" spans="1:8" ht="30.75" thickBot="1" x14ac:dyDescent="0.3">
      <c r="A29" s="45">
        <v>1026</v>
      </c>
      <c r="B29" s="46" t="s">
        <v>54</v>
      </c>
      <c r="C29" s="46" t="s">
        <v>11</v>
      </c>
      <c r="D29" s="46" t="s">
        <v>15</v>
      </c>
      <c r="E29" s="47">
        <v>16</v>
      </c>
      <c r="F29" s="47">
        <v>25</v>
      </c>
      <c r="G29" s="48">
        <v>45506</v>
      </c>
      <c r="H29" s="49">
        <f t="shared" si="0"/>
        <v>400</v>
      </c>
    </row>
    <row r="30" spans="1:8" ht="30.75" thickBot="1" x14ac:dyDescent="0.3">
      <c r="A30" s="45">
        <v>1027</v>
      </c>
      <c r="B30" s="46" t="s">
        <v>55</v>
      </c>
      <c r="C30" s="46" t="s">
        <v>14</v>
      </c>
      <c r="D30" s="46" t="s">
        <v>19</v>
      </c>
      <c r="E30" s="47">
        <v>22</v>
      </c>
      <c r="F30" s="47">
        <v>5</v>
      </c>
      <c r="G30" s="48">
        <v>45537</v>
      </c>
      <c r="H30" s="49">
        <f t="shared" si="0"/>
        <v>110</v>
      </c>
    </row>
    <row r="31" spans="1:8" ht="30.75" thickBot="1" x14ac:dyDescent="0.3">
      <c r="A31" s="45">
        <v>1028</v>
      </c>
      <c r="B31" s="46" t="s">
        <v>56</v>
      </c>
      <c r="C31" s="46" t="s">
        <v>17</v>
      </c>
      <c r="D31" s="46" t="s">
        <v>22</v>
      </c>
      <c r="E31" s="47">
        <v>27</v>
      </c>
      <c r="F31" s="47">
        <v>8</v>
      </c>
      <c r="G31" s="48">
        <v>45567</v>
      </c>
      <c r="H31" s="49">
        <f t="shared" si="0"/>
        <v>216</v>
      </c>
    </row>
    <row r="32" spans="1:8" ht="30.75" thickBot="1" x14ac:dyDescent="0.3">
      <c r="A32" s="45">
        <v>1029</v>
      </c>
      <c r="B32" s="46" t="s">
        <v>57</v>
      </c>
      <c r="C32" s="46" t="s">
        <v>8</v>
      </c>
      <c r="D32" s="46" t="s">
        <v>9</v>
      </c>
      <c r="E32" s="47">
        <v>13</v>
      </c>
      <c r="F32" s="47">
        <v>50</v>
      </c>
      <c r="G32" s="48">
        <v>45628</v>
      </c>
      <c r="H32" s="49">
        <f t="shared" si="0"/>
        <v>650</v>
      </c>
    </row>
    <row r="33" spans="1:8" ht="30.75" thickBot="1" x14ac:dyDescent="0.3">
      <c r="A33" s="45">
        <v>1030</v>
      </c>
      <c r="B33" s="46" t="s">
        <v>58</v>
      </c>
      <c r="C33" s="46" t="s">
        <v>11</v>
      </c>
      <c r="D33" s="46" t="s">
        <v>12</v>
      </c>
      <c r="E33" s="47">
        <v>32</v>
      </c>
      <c r="F33" s="47">
        <v>10</v>
      </c>
      <c r="G33" s="47" t="s">
        <v>59</v>
      </c>
      <c r="H33" s="49">
        <f t="shared" si="0"/>
        <v>320</v>
      </c>
    </row>
    <row r="34" spans="1:8" ht="30.75" thickBot="1" x14ac:dyDescent="0.3">
      <c r="A34" s="45">
        <v>1031</v>
      </c>
      <c r="B34" s="46" t="s">
        <v>60</v>
      </c>
      <c r="C34" s="46" t="s">
        <v>14</v>
      </c>
      <c r="D34" s="46" t="s">
        <v>15</v>
      </c>
      <c r="E34" s="47">
        <v>10</v>
      </c>
      <c r="F34" s="47">
        <v>25</v>
      </c>
      <c r="G34" s="47" t="s">
        <v>61</v>
      </c>
      <c r="H34" s="49">
        <f t="shared" si="0"/>
        <v>250</v>
      </c>
    </row>
    <row r="35" spans="1:8" ht="30.75" thickBot="1" x14ac:dyDescent="0.3">
      <c r="A35" s="45">
        <v>1032</v>
      </c>
      <c r="B35" s="46" t="s">
        <v>62</v>
      </c>
      <c r="C35" s="46" t="s">
        <v>17</v>
      </c>
      <c r="D35" s="46" t="s">
        <v>19</v>
      </c>
      <c r="E35" s="47">
        <v>18</v>
      </c>
      <c r="F35" s="47">
        <v>5</v>
      </c>
      <c r="G35" s="47" t="s">
        <v>63</v>
      </c>
      <c r="H35" s="49">
        <f t="shared" si="0"/>
        <v>90</v>
      </c>
    </row>
    <row r="36" spans="1:8" ht="30.75" thickBot="1" x14ac:dyDescent="0.3">
      <c r="A36" s="45">
        <v>1033</v>
      </c>
      <c r="B36" s="46" t="s">
        <v>64</v>
      </c>
      <c r="C36" s="46" t="s">
        <v>8</v>
      </c>
      <c r="D36" s="46" t="s">
        <v>22</v>
      </c>
      <c r="E36" s="47">
        <v>22</v>
      </c>
      <c r="F36" s="47">
        <v>8</v>
      </c>
      <c r="G36" s="47" t="s">
        <v>65</v>
      </c>
      <c r="H36" s="49">
        <f t="shared" si="0"/>
        <v>176</v>
      </c>
    </row>
    <row r="37" spans="1:8" ht="30.75" thickBot="1" x14ac:dyDescent="0.3">
      <c r="A37" s="45">
        <v>1034</v>
      </c>
      <c r="B37" s="46" t="s">
        <v>66</v>
      </c>
      <c r="C37" s="46" t="s">
        <v>11</v>
      </c>
      <c r="D37" s="46" t="s">
        <v>9</v>
      </c>
      <c r="E37" s="47">
        <v>17</v>
      </c>
      <c r="F37" s="47">
        <v>50</v>
      </c>
      <c r="G37" s="47" t="s">
        <v>67</v>
      </c>
      <c r="H37" s="49">
        <f t="shared" si="0"/>
        <v>850</v>
      </c>
    </row>
    <row r="38" spans="1:8" ht="30.75" thickBot="1" x14ac:dyDescent="0.3">
      <c r="A38" s="45">
        <v>1035</v>
      </c>
      <c r="B38" s="46" t="s">
        <v>68</v>
      </c>
      <c r="C38" s="46" t="s">
        <v>14</v>
      </c>
      <c r="D38" s="46" t="s">
        <v>12</v>
      </c>
      <c r="E38" s="47">
        <v>19</v>
      </c>
      <c r="F38" s="47">
        <v>10</v>
      </c>
      <c r="G38" s="47" t="s">
        <v>69</v>
      </c>
      <c r="H38" s="49">
        <f t="shared" si="0"/>
        <v>190</v>
      </c>
    </row>
    <row r="39" spans="1:8" ht="30.75" thickBot="1" x14ac:dyDescent="0.3">
      <c r="A39" s="45">
        <v>1036</v>
      </c>
      <c r="B39" s="46" t="s">
        <v>70</v>
      </c>
      <c r="C39" s="46" t="s">
        <v>17</v>
      </c>
      <c r="D39" s="46" t="s">
        <v>15</v>
      </c>
      <c r="E39" s="47">
        <v>15</v>
      </c>
      <c r="F39" s="47">
        <v>25</v>
      </c>
      <c r="G39" s="47" t="s">
        <v>71</v>
      </c>
      <c r="H39" s="49">
        <f t="shared" si="0"/>
        <v>375</v>
      </c>
    </row>
    <row r="40" spans="1:8" ht="30.75" thickBot="1" x14ac:dyDescent="0.3">
      <c r="A40" s="45">
        <v>1037</v>
      </c>
      <c r="B40" s="46" t="s">
        <v>72</v>
      </c>
      <c r="C40" s="46" t="s">
        <v>8</v>
      </c>
      <c r="D40" s="46" t="s">
        <v>19</v>
      </c>
      <c r="E40" s="47">
        <v>28</v>
      </c>
      <c r="F40" s="47">
        <v>5</v>
      </c>
      <c r="G40" s="47" t="s">
        <v>73</v>
      </c>
      <c r="H40" s="49">
        <f t="shared" si="0"/>
        <v>140</v>
      </c>
    </row>
    <row r="41" spans="1:8" ht="30.75" thickBot="1" x14ac:dyDescent="0.3">
      <c r="A41" s="45">
        <v>1038</v>
      </c>
      <c r="B41" s="46" t="s">
        <v>74</v>
      </c>
      <c r="C41" s="46" t="s">
        <v>11</v>
      </c>
      <c r="D41" s="46" t="s">
        <v>22</v>
      </c>
      <c r="E41" s="47">
        <v>24</v>
      </c>
      <c r="F41" s="47">
        <v>8</v>
      </c>
      <c r="G41" s="47" t="s">
        <v>75</v>
      </c>
      <c r="H41" s="49">
        <f t="shared" si="0"/>
        <v>192</v>
      </c>
    </row>
    <row r="42" spans="1:8" ht="30.75" thickBot="1" x14ac:dyDescent="0.3">
      <c r="A42" s="45">
        <v>1039</v>
      </c>
      <c r="B42" s="46" t="s">
        <v>76</v>
      </c>
      <c r="C42" s="46" t="s">
        <v>14</v>
      </c>
      <c r="D42" s="46" t="s">
        <v>9</v>
      </c>
      <c r="E42" s="47">
        <v>16</v>
      </c>
      <c r="F42" s="47">
        <v>50</v>
      </c>
      <c r="G42" s="47" t="s">
        <v>77</v>
      </c>
      <c r="H42" s="49">
        <f t="shared" si="0"/>
        <v>800</v>
      </c>
    </row>
    <row r="43" spans="1:8" ht="30.75" thickBot="1" x14ac:dyDescent="0.3">
      <c r="A43" s="45">
        <v>1040</v>
      </c>
      <c r="B43" s="46" t="s">
        <v>78</v>
      </c>
      <c r="C43" s="46" t="s">
        <v>17</v>
      </c>
      <c r="D43" s="46" t="s">
        <v>12</v>
      </c>
      <c r="E43" s="47">
        <v>27</v>
      </c>
      <c r="F43" s="47">
        <v>10</v>
      </c>
      <c r="G43" s="47" t="s">
        <v>79</v>
      </c>
      <c r="H43" s="49">
        <f t="shared" si="0"/>
        <v>270</v>
      </c>
    </row>
    <row r="44" spans="1:8" ht="30.75" thickBot="1" x14ac:dyDescent="0.3">
      <c r="A44" s="45">
        <v>1041</v>
      </c>
      <c r="B44" s="46" t="s">
        <v>80</v>
      </c>
      <c r="C44" s="46" t="s">
        <v>8</v>
      </c>
      <c r="D44" s="46" t="s">
        <v>15</v>
      </c>
      <c r="E44" s="47">
        <v>21</v>
      </c>
      <c r="F44" s="47">
        <v>25</v>
      </c>
      <c r="G44" s="47" t="s">
        <v>81</v>
      </c>
      <c r="H44" s="49">
        <f t="shared" si="0"/>
        <v>525</v>
      </c>
    </row>
    <row r="45" spans="1:8" ht="30.75" thickBot="1" x14ac:dyDescent="0.3">
      <c r="A45" s="45">
        <v>1042</v>
      </c>
      <c r="B45" s="46" t="s">
        <v>82</v>
      </c>
      <c r="C45" s="46" t="s">
        <v>11</v>
      </c>
      <c r="D45" s="46" t="s">
        <v>19</v>
      </c>
      <c r="E45" s="47">
        <v>30</v>
      </c>
      <c r="F45" s="47">
        <v>5</v>
      </c>
      <c r="G45" s="47" t="s">
        <v>83</v>
      </c>
      <c r="H45" s="49">
        <f t="shared" si="0"/>
        <v>150</v>
      </c>
    </row>
    <row r="46" spans="1:8" ht="30.75" thickBot="1" x14ac:dyDescent="0.3">
      <c r="A46" s="45">
        <v>1043</v>
      </c>
      <c r="B46" s="46" t="s">
        <v>84</v>
      </c>
      <c r="C46" s="46" t="s">
        <v>14</v>
      </c>
      <c r="D46" s="46" t="s">
        <v>22</v>
      </c>
      <c r="E46" s="47">
        <v>26</v>
      </c>
      <c r="F46" s="47">
        <v>8</v>
      </c>
      <c r="G46" s="48">
        <v>45294</v>
      </c>
      <c r="H46" s="49">
        <f t="shared" si="0"/>
        <v>208</v>
      </c>
    </row>
    <row r="47" spans="1:8" ht="30.75" thickBot="1" x14ac:dyDescent="0.3">
      <c r="A47" s="45">
        <v>1044</v>
      </c>
      <c r="B47" s="46" t="s">
        <v>85</v>
      </c>
      <c r="C47" s="46" t="s">
        <v>17</v>
      </c>
      <c r="D47" s="46" t="s">
        <v>9</v>
      </c>
      <c r="E47" s="47">
        <v>14</v>
      </c>
      <c r="F47" s="47">
        <v>50</v>
      </c>
      <c r="G47" s="48">
        <v>45325</v>
      </c>
      <c r="H47" s="49">
        <f t="shared" si="0"/>
        <v>700</v>
      </c>
    </row>
    <row r="48" spans="1:8" ht="30.75" thickBot="1" x14ac:dyDescent="0.3">
      <c r="A48" s="45">
        <v>1045</v>
      </c>
      <c r="B48" s="46" t="s">
        <v>86</v>
      </c>
      <c r="C48" s="46" t="s">
        <v>8</v>
      </c>
      <c r="D48" s="46" t="s">
        <v>12</v>
      </c>
      <c r="E48" s="47">
        <v>20</v>
      </c>
      <c r="F48" s="47">
        <v>10</v>
      </c>
      <c r="G48" s="48">
        <v>45354</v>
      </c>
      <c r="H48" s="49">
        <f t="shared" si="0"/>
        <v>200</v>
      </c>
    </row>
    <row r="49" spans="1:8" ht="30.75" thickBot="1" x14ac:dyDescent="0.3">
      <c r="A49" s="45">
        <v>1046</v>
      </c>
      <c r="B49" s="46" t="s">
        <v>87</v>
      </c>
      <c r="C49" s="46" t="s">
        <v>11</v>
      </c>
      <c r="D49" s="46" t="s">
        <v>15</v>
      </c>
      <c r="E49" s="47">
        <v>17</v>
      </c>
      <c r="F49" s="47">
        <v>25</v>
      </c>
      <c r="G49" s="48">
        <v>45385</v>
      </c>
      <c r="H49" s="49">
        <f t="shared" si="0"/>
        <v>425</v>
      </c>
    </row>
    <row r="50" spans="1:8" ht="30.75" thickBot="1" x14ac:dyDescent="0.3">
      <c r="A50" s="45">
        <v>1047</v>
      </c>
      <c r="B50" s="46" t="s">
        <v>88</v>
      </c>
      <c r="C50" s="46" t="s">
        <v>14</v>
      </c>
      <c r="D50" s="46" t="s">
        <v>19</v>
      </c>
      <c r="E50" s="47">
        <v>19</v>
      </c>
      <c r="F50" s="47">
        <v>5</v>
      </c>
      <c r="G50" s="48">
        <v>45415</v>
      </c>
      <c r="H50" s="49">
        <f t="shared" si="0"/>
        <v>95</v>
      </c>
    </row>
    <row r="51" spans="1:8" ht="30.75" thickBot="1" x14ac:dyDescent="0.3">
      <c r="A51" s="45">
        <v>1048</v>
      </c>
      <c r="B51" s="46" t="s">
        <v>89</v>
      </c>
      <c r="C51" s="46" t="s">
        <v>17</v>
      </c>
      <c r="D51" s="46" t="s">
        <v>22</v>
      </c>
      <c r="E51" s="47">
        <v>32</v>
      </c>
      <c r="F51" s="47">
        <v>8</v>
      </c>
      <c r="G51" s="48">
        <v>45446</v>
      </c>
      <c r="H51" s="49">
        <f t="shared" si="0"/>
        <v>256</v>
      </c>
    </row>
    <row r="52" spans="1:8" ht="30.75" thickBot="1" x14ac:dyDescent="0.3">
      <c r="A52" s="45">
        <v>1049</v>
      </c>
      <c r="B52" s="46" t="s">
        <v>90</v>
      </c>
      <c r="C52" s="46" t="s">
        <v>8</v>
      </c>
      <c r="D52" s="46" t="s">
        <v>9</v>
      </c>
      <c r="E52" s="47">
        <v>12</v>
      </c>
      <c r="F52" s="47">
        <v>50</v>
      </c>
      <c r="G52" s="48">
        <v>45476</v>
      </c>
      <c r="H52" s="49">
        <f t="shared" si="0"/>
        <v>600</v>
      </c>
    </row>
    <row r="53" spans="1:8" ht="30.75" thickBot="1" x14ac:dyDescent="0.3">
      <c r="A53" s="45">
        <v>1050</v>
      </c>
      <c r="B53" s="46" t="s">
        <v>91</v>
      </c>
      <c r="C53" s="46" t="s">
        <v>11</v>
      </c>
      <c r="D53" s="46" t="s">
        <v>12</v>
      </c>
      <c r="E53" s="47">
        <v>25</v>
      </c>
      <c r="F53" s="47">
        <v>10</v>
      </c>
      <c r="G53" s="48">
        <v>45507</v>
      </c>
      <c r="H53" s="49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Ques1.</vt:lpstr>
      <vt:lpstr>Ques2</vt:lpstr>
      <vt:lpstr>Ques3</vt:lpstr>
      <vt:lpstr>Ques4</vt:lpstr>
      <vt:lpstr>Ques 5</vt:lpstr>
      <vt:lpstr>Ques6</vt:lpstr>
      <vt:lpstr>Ques7</vt:lpstr>
      <vt:lpstr>Ques.8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Mishra</dc:creator>
  <cp:lastModifiedBy>Sumit Mishra</cp:lastModifiedBy>
  <dcterms:created xsi:type="dcterms:W3CDTF">2025-12-30T03:24:08Z</dcterms:created>
  <dcterms:modified xsi:type="dcterms:W3CDTF">2025-12-30T16:17:10Z</dcterms:modified>
</cp:coreProperties>
</file>