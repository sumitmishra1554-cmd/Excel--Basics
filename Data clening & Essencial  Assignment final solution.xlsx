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BB1A4C9-ED56-4CD6-8A8C-F6BA4D1C8932}" xr6:coauthVersionLast="47" xr6:coauthVersionMax="47" xr10:uidLastSave="{00000000-0000-0000-0000-000000000000}"/>
  <bookViews>
    <workbookView xWindow="-120" yWindow="-120" windowWidth="20730" windowHeight="11160" xr2:uid="{D1898D6B-46EA-404D-BDFD-E603ABEC7FA9}"/>
  </bookViews>
  <sheets>
    <sheet name="Ques1" sheetId="1" r:id="rId1"/>
    <sheet name="Ques2" sheetId="2" r:id="rId2"/>
    <sheet name="Ques3" sheetId="3" r:id="rId3"/>
    <sheet name="Ques4" sheetId="4" r:id="rId4"/>
    <sheet name="Sheet5" sheetId="8" r:id="rId5"/>
    <sheet name="Ques6" sheetId="5" r:id="rId6"/>
    <sheet name="Ques7" sheetId="6" r:id="rId7"/>
    <sheet name="Ques.8" sheetId="7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6" l="1"/>
  <c r="E33" i="6"/>
  <c r="E32" i="6"/>
  <c r="E31" i="6"/>
  <c r="E24" i="6"/>
  <c r="E18" i="6"/>
  <c r="F14" i="6"/>
  <c r="E10" i="6"/>
  <c r="E29" i="7"/>
  <c r="E25" i="7"/>
  <c r="M15" i="3"/>
  <c r="C21" i="5"/>
  <c r="C17" i="5"/>
  <c r="C13" i="5"/>
  <c r="C9" i="5"/>
  <c r="C5" i="5"/>
  <c r="C17" i="4"/>
  <c r="B11" i="4"/>
  <c r="L7" i="3"/>
  <c r="C22" i="3"/>
  <c r="D6" i="3"/>
  <c r="C14" i="3"/>
</calcChain>
</file>

<file path=xl/sharedStrings.xml><?xml version="1.0" encoding="utf-8"?>
<sst xmlns="http://schemas.openxmlformats.org/spreadsheetml/2006/main" count="259" uniqueCount="168">
  <si>
    <t xml:space="preserve">   Assignment  Data Cleaning &amp; Essential
      Functions</t>
  </si>
  <si>
    <t xml:space="preserve">                                             Question With Their Solution</t>
  </si>
  <si>
    <t>Q.1  What is data cleaning, and why is it important in data analysis?</t>
  </si>
  <si>
    <t>Sol.</t>
  </si>
  <si>
    <t>*  Data cleaning ,is the process of identifying and correcting errors, inconsistencies, and
inaccuracies in a dataset to improve its quality.</t>
  </si>
  <si>
    <t>* Ensures accurate analysis and results.</t>
  </si>
  <si>
    <t>* Improves decision-making.</t>
  </si>
  <si>
    <t>* Saves time during analysis.</t>
  </si>
  <si>
    <t>* Increases data reliability.</t>
  </si>
  <si>
    <t>. Data Cleanining</t>
  </si>
  <si>
    <t>. Why is it important?</t>
  </si>
  <si>
    <t>A.Consequences of analyzing unclean data</t>
  </si>
  <si>
    <t>* Incorrect conclusions</t>
  </si>
  <si>
    <t>* Misleading trends and insights</t>
  </si>
  <si>
    <t>* Poor business or research decisions</t>
  </si>
  <si>
    <t>*Reduced credibility of results</t>
  </si>
  <si>
    <t>B.Common steps in data cleaning</t>
  </si>
  <si>
    <t>1.Remove duplicate records</t>
  </si>
  <si>
    <t>2.Handle missing values (fill, remove, or estimate)</t>
  </si>
  <si>
    <t>3.Correct data entry errors.</t>
  </si>
  <si>
    <t>4.Standardize formats (dates, text, numbers)</t>
  </si>
  <si>
    <t>5.Remove irrelevant or outlier data</t>
  </si>
  <si>
    <t>Q.2  How would you sort the following dataset first by "Department" (A-Z) and then by "Salary" (Largest to
Smallest)? Write a step-by-step approach.</t>
  </si>
  <si>
    <t>Employee</t>
  </si>
  <si>
    <t>Department</t>
  </si>
  <si>
    <t>Salary</t>
  </si>
  <si>
    <t>Sonu</t>
  </si>
  <si>
    <t>Pranav</t>
  </si>
  <si>
    <t>Rahul</t>
  </si>
  <si>
    <t>IT</t>
  </si>
  <si>
    <t>HR</t>
  </si>
  <si>
    <t>Solution</t>
  </si>
  <si>
    <t>Step.</t>
  </si>
  <si>
    <t>1. Select the entire dataset.</t>
  </si>
  <si>
    <t>2.First, sort Department in A–Z order:</t>
  </si>
  <si>
    <t>* HR</t>
  </si>
  <si>
    <t>* IT</t>
  </si>
  <si>
    <t>Solution.</t>
  </si>
  <si>
    <t>Within each department, sort Salary from Largest to Smallest.</t>
  </si>
  <si>
    <t xml:space="preserve">  Final Sorted Data</t>
  </si>
  <si>
    <t>Q.3   Explain the use of text functions such as TRIM , LEFT, RIGHT, MID, and CONCAT in data cleaning</t>
  </si>
  <si>
    <r>
      <rPr>
        <b/>
        <sz val="11"/>
        <color theme="1"/>
        <rFont val="Aptos Narrow"/>
        <family val="2"/>
        <scheme val="minor"/>
      </rPr>
      <t>Sol</t>
    </r>
    <r>
      <rPr>
        <sz val="11"/>
        <color theme="1"/>
        <rFont val="Aptos Narrow"/>
        <family val="2"/>
        <scheme val="minor"/>
      </rPr>
      <t>.</t>
    </r>
  </si>
  <si>
    <t>1. TRIM</t>
  </si>
  <si>
    <r>
      <t>Use:</t>
    </r>
    <r>
      <rPr>
        <sz val="11"/>
        <color theme="1"/>
        <rFont val="Aptos Narrow"/>
        <family val="2"/>
        <scheme val="minor"/>
      </rPr>
      <t xml:space="preserve"> Removes </t>
    </r>
    <r>
      <rPr>
        <b/>
        <sz val="11"/>
        <color theme="1"/>
        <rFont val="Aptos Narrow"/>
        <family val="2"/>
        <scheme val="minor"/>
      </rPr>
      <t>extra spaces</t>
    </r>
    <r>
      <rPr>
        <sz val="11"/>
        <color theme="1"/>
        <rFont val="Aptos Narrow"/>
        <family val="2"/>
        <scheme val="minor"/>
      </rPr>
      <t xml:space="preserve"> from text (except single spaces between words).</t>
    </r>
  </si>
  <si>
    <t>Example.</t>
  </si>
  <si>
    <t>Sumit    Mishra</t>
  </si>
  <si>
    <t>Formula</t>
  </si>
  <si>
    <t>2.LEFT</t>
  </si>
  <si>
    <r>
      <t>Use:</t>
    </r>
    <r>
      <rPr>
        <sz val="11"/>
        <color theme="1"/>
        <rFont val="Aptos Narrow"/>
        <family val="2"/>
        <scheme val="minor"/>
      </rPr>
      <t xml:space="preserve"> Extracts characters from the </t>
    </r>
    <r>
      <rPr>
        <b/>
        <sz val="11"/>
        <color theme="1"/>
        <rFont val="Aptos Narrow"/>
        <family val="2"/>
        <scheme val="minor"/>
      </rPr>
      <t>left side</t>
    </r>
    <r>
      <rPr>
        <sz val="11"/>
        <color theme="1"/>
        <rFont val="Aptos Narrow"/>
        <family val="2"/>
        <scheme val="minor"/>
      </rPr>
      <t xml:space="preserve"> of a text.</t>
    </r>
  </si>
  <si>
    <t>Example</t>
  </si>
  <si>
    <t>NAME</t>
  </si>
  <si>
    <t>LEFT</t>
  </si>
  <si>
    <t>EMP12345</t>
  </si>
  <si>
    <t xml:space="preserve">Name </t>
  </si>
  <si>
    <t>TRIM</t>
  </si>
  <si>
    <r>
      <t>3</t>
    </r>
    <r>
      <rPr>
        <b/>
        <sz val="11"/>
        <color theme="1"/>
        <rFont val="Aptos Narrow"/>
        <family val="2"/>
        <scheme val="minor"/>
      </rPr>
      <t>.RIGHT</t>
    </r>
  </si>
  <si>
    <r>
      <rPr>
        <b/>
        <sz val="11"/>
        <color theme="1"/>
        <rFont val="Aptos Narrow"/>
        <family val="2"/>
        <scheme val="minor"/>
      </rPr>
      <t>Use</t>
    </r>
    <r>
      <rPr>
        <sz val="11"/>
        <color theme="1"/>
        <rFont val="Aptos Narrow"/>
        <family val="2"/>
        <scheme val="minor"/>
      </rPr>
      <t>: Extracts characters from the right side of a text.</t>
    </r>
  </si>
  <si>
    <t>RIGHT</t>
  </si>
  <si>
    <t>SUMITM</t>
  </si>
  <si>
    <t>Formula.</t>
  </si>
  <si>
    <t>. MID</t>
  </si>
  <si>
    <r>
      <t xml:space="preserve">Use: </t>
    </r>
    <r>
      <rPr>
        <sz val="11"/>
        <color theme="1"/>
        <rFont val="Aptos Narrow"/>
        <family val="2"/>
        <scheme val="minor"/>
      </rPr>
      <t>Extracts text from the middle of a string.</t>
    </r>
  </si>
  <si>
    <t>MID</t>
  </si>
  <si>
    <t>PRD-458-IND</t>
  </si>
  <si>
    <r>
      <rPr>
        <b/>
        <sz val="11"/>
        <color theme="1"/>
        <rFont val="Aptos Narrow"/>
        <family val="2"/>
        <scheme val="minor"/>
      </rPr>
      <t>CONCA</t>
    </r>
    <r>
      <rPr>
        <sz val="11"/>
        <color theme="1"/>
        <rFont val="Aptos Narrow"/>
        <family val="2"/>
        <scheme val="minor"/>
      </rPr>
      <t>T</t>
    </r>
  </si>
  <si>
    <r>
      <rPr>
        <b/>
        <sz val="11"/>
        <color theme="1"/>
        <rFont val="Aptos Narrow"/>
        <family val="2"/>
        <scheme val="minor"/>
      </rPr>
      <t>Use:</t>
    </r>
    <r>
      <rPr>
        <sz val="11"/>
        <color theme="1"/>
        <rFont val="Aptos Narrow"/>
        <family val="2"/>
        <scheme val="minor"/>
      </rPr>
      <t xml:space="preserve"> Joins multiple text values into one.</t>
    </r>
  </si>
  <si>
    <t>First</t>
  </si>
  <si>
    <t>Second</t>
  </si>
  <si>
    <t>Concat</t>
  </si>
  <si>
    <t>Sumit</t>
  </si>
  <si>
    <t>Mishra</t>
  </si>
  <si>
    <t>Ques.4 What is the role of date functions like TODAY in managing datasets?</t>
  </si>
  <si>
    <t xml:space="preserve">Date functions like TODAY() play an important role in managing datasets, especially when data is time-based or needs regular updating. </t>
  </si>
  <si>
    <t>They help automate calculations, track timelines, and keep reports up to date without manual changes.</t>
  </si>
  <si>
    <t>Role of TODAY() in Managing Datasets</t>
  </si>
  <si>
    <t>1. Automatic Current Date</t>
  </si>
  <si>
    <t>* TODAY() always returns the current system date</t>
  </si>
  <si>
    <t>*The date updates automatically whenever the sheet is opened or recalculated</t>
  </si>
  <si>
    <t>2. Calculating Age or Duration</t>
  </si>
  <si>
    <t>*We can calculate how many days, months, or years have passed since a given date.</t>
  </si>
  <si>
    <t>Order Date</t>
  </si>
  <si>
    <t>Days Passed</t>
  </si>
  <si>
    <t>Ques.6 Understand and apply fundamental text functions like LEFT, RIGHT, MID, and LEN.</t>
  </si>
  <si>
    <r>
      <t xml:space="preserve"> </t>
    </r>
    <r>
      <rPr>
        <b/>
        <sz val="11"/>
        <color theme="1"/>
        <rFont val="Aptos Narrow"/>
        <family val="2"/>
        <scheme val="minor"/>
      </rPr>
      <t>a. Extract the first 5 characters from “ExcelTipsAreGreat”</t>
    </r>
  </si>
  <si>
    <t xml:space="preserve">Sol. </t>
  </si>
  <si>
    <t>ExcelTipsAreGreat</t>
  </si>
  <si>
    <t>b. Extract the last 4 characters from “DataAnalysis.xlsx”</t>
  </si>
  <si>
    <t>DataAnalysis.xlsx</t>
  </si>
  <si>
    <t>c. Extract the substring “Tips” from “ExcelTipsAreGreat”</t>
  </si>
  <si>
    <t>Sol</t>
  </si>
  <si>
    <t>d. Count total characters in “Hello World!”</t>
  </si>
  <si>
    <t>Hello World!</t>
  </si>
  <si>
    <t>e. Extract the middle 6 characters from “12345-67890-ABCDE”</t>
  </si>
  <si>
    <t>12345-67890-ABCDE</t>
  </si>
  <si>
    <t>Hello</t>
  </si>
  <si>
    <t>World</t>
  </si>
  <si>
    <r>
      <rPr>
        <b/>
        <sz val="11"/>
        <color theme="1"/>
        <rFont val="Aptos Narrow"/>
        <family val="2"/>
        <scheme val="minor"/>
      </rPr>
      <t>Q.8</t>
    </r>
    <r>
      <rPr>
        <sz val="11"/>
        <color theme="1"/>
        <rFont val="Aptos Narrow"/>
        <family val="2"/>
        <scheme val="minor"/>
      </rPr>
      <t xml:space="preserve"> Understanding TODAY() and NOW()  </t>
    </r>
  </si>
  <si>
    <r>
      <rPr>
        <b/>
        <sz val="11"/>
        <color theme="1"/>
        <rFont val="Aptos Narrow"/>
        <family val="2"/>
        <scheme val="minor"/>
      </rPr>
      <t>a.</t>
    </r>
    <r>
      <rPr>
        <sz val="11"/>
        <color theme="1"/>
        <rFont val="Aptos Narrow"/>
        <family val="2"/>
        <scheme val="minor"/>
      </rPr>
      <t xml:space="preserve"> What is the difference between TODAY() and NOW() in Excel? Provide an example of when you would use each function. </t>
    </r>
  </si>
  <si>
    <r>
      <rPr>
        <b/>
        <sz val="11"/>
        <color theme="1"/>
        <rFont val="Aptos Narrow"/>
        <family val="2"/>
        <scheme val="minor"/>
      </rPr>
      <t>b.</t>
    </r>
    <r>
      <rPr>
        <sz val="11"/>
        <color theme="1"/>
        <rFont val="Aptos Narrow"/>
        <family val="2"/>
        <scheme val="minor"/>
      </rPr>
      <t xml:space="preserve"> If cell A1 contains the date 2025-06-10, write a formula using TODAY() to determine how many days are left until that date</t>
    </r>
  </si>
  <si>
    <r>
      <rPr>
        <b/>
        <sz val="11"/>
        <color theme="1"/>
        <rFont val="Aptos Narrow"/>
        <family val="2"/>
        <scheme val="minor"/>
      </rPr>
      <t xml:space="preserve">c. </t>
    </r>
    <r>
      <rPr>
        <sz val="11"/>
        <color theme="1"/>
        <rFont val="Aptos Narrow"/>
        <family val="2"/>
        <scheme val="minor"/>
      </rPr>
      <t>Write an Excel formula using NOW() to display the current date and time in the format MM/DD/YYYY HH:MM AM/PM. ́</t>
    </r>
  </si>
  <si>
    <r>
      <rPr>
        <b/>
        <sz val="11"/>
        <color theme="1"/>
        <rFont val="Aptos Narrow"/>
        <family val="2"/>
        <scheme val="minor"/>
      </rPr>
      <t>d.</t>
    </r>
    <r>
      <rPr>
        <sz val="11"/>
        <color theme="1"/>
        <rFont val="Aptos Narrow"/>
        <family val="2"/>
        <scheme val="minor"/>
      </rPr>
      <t xml:space="preserve"> If a cell contains =TODAY(), what will happen when the worksheet is reopened the next day? Explain.</t>
    </r>
  </si>
  <si>
    <r>
      <rPr>
        <b/>
        <sz val="11"/>
        <color theme="1"/>
        <rFont val="Aptos Narrow"/>
        <family val="2"/>
        <scheme val="minor"/>
      </rPr>
      <t>e.</t>
    </r>
    <r>
      <rPr>
        <sz val="11"/>
        <color theme="1"/>
        <rFont val="Aptos Narrow"/>
        <family val="2"/>
        <scheme val="minor"/>
      </rPr>
      <t xml:space="preserve"> You want to store a static date (today’s date) in a cell without it changing every day. What keyboard shortcut should you use?</t>
    </r>
  </si>
  <si>
    <t>Solution:</t>
  </si>
  <si>
    <t>TODAY()</t>
  </si>
  <si>
    <t>Returns the current date formatted as a serial number (e.g., 45657), typically displayed as MM/DD/YYYY. It does not include time.</t>
  </si>
  <si>
    <t>Example: Project Management (To calculate how many days are remaining until a project deadline).</t>
  </si>
  <si>
    <t>Formula: =A1 - TODAY() (where A1 is the deadline date).</t>
  </si>
  <si>
    <t>Purpose: This provides a dynamic daily countdown, ensuring the number of days updates every time the file is opened.</t>
  </si>
  <si>
    <t>NOW()</t>
  </si>
  <si>
    <t>Returns the current date and time (e.g., 45657.5 for 12:00 PM).</t>
  </si>
  <si>
    <t>Example: Time-Stamping Activity(To record the exact time a specific action was performed or when a report was generated)</t>
  </si>
  <si>
    <t>Formula: =IF(A2&lt;&gt;"", NOW(), "") (if cell A2 is updated, generate a timestamp).</t>
  </si>
  <si>
    <t>Purpose: This is used to track precise, minute-by-minute activity in logs.</t>
  </si>
  <si>
    <t xml:space="preserve">Both functions are volatile; they update every time the worksheet recalculates (e.g., opening the file or entering data). </t>
  </si>
  <si>
    <r>
      <rPr>
        <b/>
        <sz val="11"/>
        <color theme="1"/>
        <rFont val="Aptos Narrow"/>
        <family val="2"/>
        <scheme val="minor"/>
      </rPr>
      <t>b.</t>
    </r>
    <r>
      <rPr>
        <sz val="11"/>
        <color theme="1"/>
        <rFont val="Aptos Narrow"/>
        <family val="2"/>
        <scheme val="minor"/>
      </rPr>
      <t xml:space="preserve"> If cell C27 contains the date 2025-06-10, write a formula using TODAY() to determine how many days are left until that date.</t>
    </r>
  </si>
  <si>
    <r>
      <rPr>
        <b/>
        <sz val="11"/>
        <color theme="1"/>
        <rFont val="Aptos Narrow"/>
        <family val="2"/>
        <scheme val="minor"/>
      </rPr>
      <t>d.</t>
    </r>
    <r>
      <rPr>
        <sz val="11"/>
        <color theme="1"/>
        <rFont val="Aptos Narrow"/>
        <family val="2"/>
        <scheme val="minor"/>
      </rPr>
      <t xml:space="preserve"> If a cell contains =TODAY(), what will happen when the worksheet is reopened the next day? Explain</t>
    </r>
  </si>
  <si>
    <t>When a cell in a spreadsheet contains the formula =TODAY(), the displayed value will automatically update to reflect the current date each time the workbook is opened or recalculated.</t>
  </si>
  <si>
    <t>To store a static, non-updating date (today's date) in an Excel cell, use the shortcut Ctrl + ; (semicolon)</t>
  </si>
  <si>
    <r>
      <rPr>
        <b/>
        <sz val="11"/>
        <color theme="1"/>
        <rFont val="Aptos Narrow"/>
        <family val="2"/>
        <scheme val="minor"/>
      </rPr>
      <t xml:space="preserve">Q.7 </t>
    </r>
    <r>
      <rPr>
        <sz val="11"/>
        <color theme="1"/>
        <rFont val="Aptos Narrow"/>
        <family val="2"/>
        <scheme val="minor"/>
      </rPr>
      <t xml:space="preserve">Understand how to combine text using CONCAT, TEXTJOIN, and the &amp; operator. 
</t>
    </r>
    <r>
      <rPr>
        <b/>
        <sz val="11"/>
        <color theme="1"/>
        <rFont val="Aptos Narrow"/>
        <family val="2"/>
        <scheme val="minor"/>
      </rPr>
      <t>a.</t>
    </r>
    <r>
      <rPr>
        <sz val="11"/>
        <color theme="1"/>
        <rFont val="Aptos Narrow"/>
        <family val="2"/>
        <scheme val="minor"/>
      </rPr>
      <t xml:space="preserve">Use CONCAT to combine "Hello" and "World" with a space in between.
</t>
    </r>
    <r>
      <rPr>
        <b/>
        <sz val="11"/>
        <color theme="1"/>
        <rFont val="Aptos Narrow"/>
        <family val="2"/>
        <scheme val="minor"/>
      </rPr>
      <t>b.</t>
    </r>
    <r>
      <rPr>
        <sz val="11"/>
        <color theme="1"/>
        <rFont val="Aptos Narrow"/>
        <family val="2"/>
        <scheme val="minor"/>
      </rPr>
      <t xml:space="preserve">Combine "Apple", "Banana", and "Cherry" into a single string separated by commas using TEXTJOIN.
</t>
    </r>
    <r>
      <rPr>
        <b/>
        <sz val="11"/>
        <color theme="1"/>
        <rFont val="Aptos Narrow"/>
        <family val="2"/>
        <scheme val="minor"/>
      </rPr>
      <t>c.</t>
    </r>
    <r>
      <rPr>
        <sz val="11"/>
        <color theme="1"/>
        <rFont val="Aptos Narrow"/>
        <family val="2"/>
        <scheme val="minor"/>
      </rPr>
      <t xml:space="preserve">Use the &amp; operator to create the string "2025: Excel Functions" by combining "2025", ": ", and "Excel Functions".
</t>
    </r>
    <r>
      <rPr>
        <b/>
        <sz val="11"/>
        <color theme="1"/>
        <rFont val="Aptos Narrow"/>
        <family val="2"/>
        <scheme val="minor"/>
      </rPr>
      <t>d.</t>
    </r>
    <r>
      <rPr>
        <sz val="11"/>
        <color theme="1"/>
        <rFont val="Aptos Narrow"/>
        <family val="2"/>
        <scheme val="minor"/>
      </rPr>
      <t xml:space="preserve">Create a comma-separated list from the range A1:A5 using TEXTJOIN 
</t>
    </r>
    <r>
      <rPr>
        <b/>
        <sz val="11"/>
        <color theme="1"/>
        <rFont val="Aptos Narrow"/>
        <family val="2"/>
        <scheme val="minor"/>
      </rPr>
      <t>e.</t>
    </r>
    <r>
      <rPr>
        <sz val="11"/>
        <color theme="1"/>
        <rFont val="Aptos Narrow"/>
        <family val="2"/>
        <scheme val="minor"/>
      </rPr>
      <t>Combine first names in column A with last names in column B to create full names in column C.</t>
    </r>
  </si>
  <si>
    <r>
      <rPr>
        <b/>
        <sz val="11"/>
        <color theme="1"/>
        <rFont val="Aptos Narrow"/>
        <family val="2"/>
        <scheme val="minor"/>
      </rPr>
      <t xml:space="preserve">a. </t>
    </r>
    <r>
      <rPr>
        <sz val="11"/>
        <color theme="1"/>
        <rFont val="Aptos Narrow"/>
        <family val="2"/>
        <scheme val="minor"/>
      </rPr>
      <t>Use CONCAT to combine "Hello" and "World" with a space in between.</t>
    </r>
  </si>
  <si>
    <r>
      <rPr>
        <b/>
        <sz val="11"/>
        <color theme="1"/>
        <rFont val="Aptos Narrow"/>
        <family val="2"/>
        <scheme val="minor"/>
      </rPr>
      <t>b.</t>
    </r>
    <r>
      <rPr>
        <sz val="11"/>
        <color theme="1"/>
        <rFont val="Aptos Narrow"/>
        <family val="2"/>
        <scheme val="minor"/>
      </rPr>
      <t xml:space="preserve"> Combine "Apple", "Banana", and "Cherry" into a single string seperated by commas using TEXTJOIN.</t>
    </r>
  </si>
  <si>
    <t>Apple</t>
  </si>
  <si>
    <t>Banana</t>
  </si>
  <si>
    <t>Cherry</t>
  </si>
  <si>
    <r>
      <rPr>
        <b/>
        <sz val="11"/>
        <color theme="1"/>
        <rFont val="Aptos Narrow"/>
        <family val="2"/>
        <scheme val="minor"/>
      </rPr>
      <t xml:space="preserve">c. </t>
    </r>
    <r>
      <rPr>
        <sz val="11"/>
        <color theme="1"/>
        <rFont val="Aptos Narrow"/>
        <family val="2"/>
        <scheme val="minor"/>
      </rPr>
      <t xml:space="preserve">Use the &amp; operator to create the string "2025: Excel Functions" by combining "2025",":", and "Excel Functions". </t>
    </r>
  </si>
  <si>
    <t>Excel Functions</t>
  </si>
  <si>
    <r>
      <t xml:space="preserve">d. </t>
    </r>
    <r>
      <rPr>
        <sz val="11"/>
        <color theme="1"/>
        <rFont val="Aptos Narrow"/>
        <family val="2"/>
        <scheme val="minor"/>
      </rPr>
      <t>Create a comma-seperated list from the range A1:A5 using TEXTJOIN.</t>
    </r>
  </si>
  <si>
    <t>Papaya</t>
  </si>
  <si>
    <t>Orange</t>
  </si>
  <si>
    <r>
      <rPr>
        <b/>
        <sz val="11"/>
        <color theme="1"/>
        <rFont val="Aptos Narrow"/>
        <family val="2"/>
        <scheme val="minor"/>
      </rPr>
      <t>e.</t>
    </r>
    <r>
      <rPr>
        <sz val="11"/>
        <color theme="1"/>
        <rFont val="Aptos Narrow"/>
        <family val="2"/>
        <scheme val="minor"/>
      </rPr>
      <t xml:space="preserve"> Combine first names in column A with last names column B to create full name in column C.</t>
    </r>
  </si>
  <si>
    <t>First Name</t>
  </si>
  <si>
    <t>Last Name</t>
  </si>
  <si>
    <t>Full Name</t>
  </si>
  <si>
    <t>Sakshi</t>
  </si>
  <si>
    <t>Rajput</t>
  </si>
  <si>
    <t>Aditya</t>
  </si>
  <si>
    <t>Jaiswal</t>
  </si>
  <si>
    <t>Ishita</t>
  </si>
  <si>
    <t>Shrey</t>
  </si>
  <si>
    <r>
      <rPr>
        <b/>
        <sz val="11"/>
        <color theme="1"/>
        <rFont val="Aptos Narrow"/>
        <family val="2"/>
        <scheme val="minor"/>
      </rPr>
      <t>Q.5</t>
    </r>
    <r>
      <rPr>
        <sz val="11"/>
        <color theme="1"/>
        <rFont val="Aptos Narrow"/>
        <family val="2"/>
        <scheme val="minor"/>
      </rPr>
      <t xml:space="preserve"> Apply Data Validation to restrict Quantity values to only whole numbers between 1 and 10. </t>
    </r>
  </si>
  <si>
    <r>
      <rPr>
        <b/>
        <sz val="11"/>
        <color theme="1"/>
        <rFont val="Aptos Narrow"/>
        <family val="2"/>
        <scheme val="minor"/>
      </rPr>
      <t>a.</t>
    </r>
    <r>
      <rPr>
        <sz val="11"/>
        <color theme="1"/>
        <rFont val="Aptos Narrow"/>
        <family val="2"/>
        <scheme val="minor"/>
      </rPr>
      <t xml:space="preserve"> Configure an input message that appears when a user selects a cell in the "Quantity" column explaining:_x000B_ "Please enter a whole number between 1 and 10."</t>
    </r>
  </si>
  <si>
    <r>
      <rPr>
        <b/>
        <sz val="11"/>
        <color theme="1"/>
        <rFont val="Aptos Narrow"/>
        <family val="2"/>
        <scheme val="minor"/>
      </rPr>
      <t xml:space="preserve">b. </t>
    </r>
    <r>
      <rPr>
        <sz val="11"/>
        <color theme="1"/>
        <rFont val="Aptos Narrow"/>
        <family val="2"/>
        <scheme val="minor"/>
      </rPr>
      <t>Set up an error alert message that triggers if the user enters a number less than 1 or greater than 10, showing:_x000B_ "Invalid input! The quantity must be a whole number between 1 and 10."</t>
    </r>
  </si>
  <si>
    <t>Write a step by step approach for this question</t>
  </si>
  <si>
    <t>Customer Name</t>
  </si>
  <si>
    <t>Product Name</t>
  </si>
  <si>
    <t>Category</t>
  </si>
  <si>
    <t>Quantity</t>
  </si>
  <si>
    <t>Unit Price (s)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</si>
  <si>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</si>
  <si>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</si>
  <si>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</si>
  <si>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</si>
  <si>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</si>
  <si>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</si>
  <si>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</si>
  <si>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</si>
  <si>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</si>
  <si>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Michael Johnson</t>
  </si>
  <si>
    <t>Table Lamp</t>
  </si>
  <si>
    <t>Home Décor</t>
  </si>
  <si>
    <t>Daniel Johnson</t>
  </si>
  <si>
    <t>Backpack</t>
  </si>
  <si>
    <t>Isabella Davis</t>
  </si>
  <si>
    <t>Headphones</t>
  </si>
  <si>
    <t>Jane Davis</t>
  </si>
  <si>
    <t>Alex Wilson</t>
  </si>
  <si>
    <t>T Shirt</t>
  </si>
  <si>
    <r>
      <rPr>
        <b/>
        <sz val="11"/>
        <color theme="1"/>
        <rFont val="Aptos Narrow"/>
        <family val="2"/>
        <scheme val="minor"/>
      </rPr>
      <t>Solution:</t>
    </r>
    <r>
      <rPr>
        <sz val="11"/>
        <color theme="1"/>
        <rFont val="Aptos Narrow"/>
        <family val="2"/>
        <scheme val="minor"/>
      </rPr>
      <t xml:space="preserve">
The step-by-step procedure:
1.Select the cells under the Quantity column where you want to apply validation.
2.Go to the Data tab on the Ribbon.
3.Click Data Validation → Data Validation…
4.In the Settings tab:
•	Set Allow to Whole number.
•	Set Data to between.
•	Enter Minimum = 1 and Maximum = 10.
5.In the Input Message tab:
•	Check Show input message when cell is selected.
•	Enter the message: “Please enter a whole number between 1 and 10.”
6.In the Error Alert tab:
•	Set Style to Stop.
•	Title: “Invalid input!”
•	Error message: “The quantity must be a whole number between 1 and 10.”
7.Click OK to apply the settings.
8.Test the rule by trying to enter values below 1 or above 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</si>
</sst>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2" fillId="2" borderId="0" xfId="0" applyFont="1" applyFill="1"/>
    <xf numFmtId="0" fontId="1" fillId="2" borderId="0" xfId="0" applyFont="1" applyFill="1"/>
    <xf numFmtId="0" fontId="4" fillId="2" borderId="0" xfId="0" applyFont="1" applyFill="1" applyAlignment="1">
      <alignment vertical="center" wrapText="1"/>
    </xf>
    <xf numFmtId="0" fontId="1" fillId="3" borderId="1" xfId="0" applyFont="1" applyFill="1" applyBorder="1"/>
    <xf numFmtId="0" fontId="1" fillId="4" borderId="0" xfId="0" applyFont="1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vertical="center"/>
    </xf>
    <xf numFmtId="0" fontId="0" fillId="4" borderId="1" xfId="0" applyFill="1" applyBorder="1"/>
    <xf numFmtId="0" fontId="0" fillId="4" borderId="1" xfId="0" applyFill="1" applyBorder="1" applyAlignment="1">
      <alignment vertical="center"/>
    </xf>
    <xf numFmtId="0" fontId="0" fillId="2" borderId="1" xfId="0" applyFill="1" applyBorder="1"/>
    <xf numFmtId="0" fontId="0" fillId="6" borderId="0" xfId="0" applyFill="1"/>
    <xf numFmtId="0" fontId="1" fillId="5" borderId="0" xfId="0" applyFont="1" applyFill="1"/>
    <xf numFmtId="0" fontId="0" fillId="5" borderId="2" xfId="0" applyFill="1" applyBorder="1"/>
    <xf numFmtId="0" fontId="0" fillId="5" borderId="1" xfId="0" applyFill="1" applyBorder="1"/>
    <xf numFmtId="0" fontId="0" fillId="7" borderId="1" xfId="0" applyFill="1" applyBorder="1"/>
    <xf numFmtId="14" fontId="0" fillId="5" borderId="0" xfId="0" applyNumberFormat="1" applyFill="1"/>
    <xf numFmtId="14" fontId="0" fillId="5" borderId="1" xfId="0" applyNumberFormat="1" applyFill="1" applyBorder="1"/>
    <xf numFmtId="0" fontId="0" fillId="8" borderId="0" xfId="0" applyFill="1"/>
    <xf numFmtId="0" fontId="1" fillId="8" borderId="0" xfId="0" applyFont="1" applyFill="1"/>
    <xf numFmtId="0" fontId="0" fillId="6" borderId="1" xfId="0" applyFill="1" applyBorder="1"/>
    <xf numFmtId="0" fontId="0" fillId="0" borderId="6" xfId="0" applyBorder="1"/>
    <xf numFmtId="0" fontId="0" fillId="0" borderId="7" xfId="0" applyBorder="1"/>
    <xf numFmtId="0" fontId="1" fillId="4" borderId="4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/>
    </xf>
    <xf numFmtId="0" fontId="0" fillId="4" borderId="7" xfId="0" applyFill="1" applyBorder="1" applyAlignment="1">
      <alignment horizontal="left" vertical="top"/>
    </xf>
    <xf numFmtId="0" fontId="0" fillId="4" borderId="6" xfId="0" applyFill="1" applyBorder="1"/>
    <xf numFmtId="0" fontId="0" fillId="4" borderId="7" xfId="0" applyFill="1" applyBorder="1"/>
    <xf numFmtId="0" fontId="1" fillId="4" borderId="6" xfId="0" applyFont="1" applyFill="1" applyBorder="1"/>
    <xf numFmtId="14" fontId="0" fillId="4" borderId="0" xfId="0" applyNumberFormat="1" applyFill="1"/>
    <xf numFmtId="0" fontId="1" fillId="4" borderId="6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7" xfId="0" applyFont="1" applyFill="1" applyBorder="1" applyAlignment="1">
      <alignment horizontal="left"/>
    </xf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14" fontId="0" fillId="10" borderId="11" xfId="0" applyNumberFormat="1" applyFill="1" applyBorder="1"/>
    <xf numFmtId="14" fontId="0" fillId="11" borderId="11" xfId="0" applyNumberFormat="1" applyFill="1" applyBorder="1"/>
    <xf numFmtId="22" fontId="0" fillId="11" borderId="11" xfId="0" applyNumberFormat="1" applyFill="1" applyBorder="1"/>
    <xf numFmtId="0" fontId="0" fillId="4" borderId="6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1" fillId="0" borderId="6" xfId="0" applyFont="1" applyBorder="1"/>
    <xf numFmtId="0" fontId="0" fillId="4" borderId="12" xfId="0" applyFill="1" applyBorder="1" applyAlignment="1">
      <alignment horizontal="left" vertical="center"/>
    </xf>
    <xf numFmtId="0" fontId="0" fillId="4" borderId="13" xfId="0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/>
    </xf>
    <xf numFmtId="0" fontId="0" fillId="10" borderId="15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1" borderId="11" xfId="0" applyFill="1" applyBorder="1"/>
    <xf numFmtId="0" fontId="0" fillId="4" borderId="12" xfId="0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0" fillId="4" borderId="14" xfId="0" applyFill="1" applyBorder="1" applyAlignment="1">
      <alignment horizontal="left"/>
    </xf>
    <xf numFmtId="0" fontId="1" fillId="4" borderId="12" xfId="0" applyFont="1" applyFill="1" applyBorder="1" applyAlignment="1">
      <alignment horizontal="left" vertical="center"/>
    </xf>
    <xf numFmtId="0" fontId="0" fillId="10" borderId="1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1" fillId="10" borderId="21" xfId="0" applyFont="1" applyFill="1" applyBorder="1" applyAlignment="1">
      <alignment horizontal="center" vertical="center"/>
    </xf>
    <xf numFmtId="0" fontId="1" fillId="10" borderId="22" xfId="0" applyFont="1" applyFill="1" applyBorder="1" applyAlignment="1">
      <alignment horizontal="center" vertical="center"/>
    </xf>
    <xf numFmtId="0" fontId="0" fillId="11" borderId="23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0" fontId="0" fillId="11" borderId="27" xfId="0" applyFill="1" applyBorder="1" applyAlignment="1">
      <alignment horizontal="center"/>
    </xf>
    <xf numFmtId="0" fontId="0" fillId="3" borderId="0" xfId="0" applyFill="1"/>
    <xf numFmtId="0" fontId="0" fillId="2" borderId="4" xfId="0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9" borderId="20" xfId="0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4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3" xfId="0" applyFill="1" applyBorder="1"/>
    <xf numFmtId="0" fontId="0" fillId="4" borderId="5" xfId="0" applyFill="1" applyBorder="1"/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vertical="top"/>
    </xf>
    <xf numFmtId="0" fontId="0" fillId="4" borderId="7" xfId="0" applyFill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0" xfId="0" applyAlignment="1">
      <alignment vertical="top"/>
    </xf>
    <xf numFmtId="0" fontId="5" fillId="10" borderId="22" xfId="0" applyFont="1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9" xfId="0" applyFill="1" applyBorder="1" applyAlignment="1">
      <alignment vertical="top"/>
    </xf>
    <xf numFmtId="0" fontId="0" fillId="4" borderId="10" xfId="0" applyFill="1" applyBorder="1" applyAlignment="1">
      <alignment vertical="top"/>
    </xf>
    <xf numFmtId="0" fontId="1" fillId="0" borderId="9" xfId="0" applyFont="1" applyBorder="1" applyAlignment="1">
      <alignment horizontal="left"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8</xdr:row>
      <xdr:rowOff>9525</xdr:rowOff>
    </xdr:from>
    <xdr:ext cx="981075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BF4B2B-87E7-4B5F-A7ED-E85862B0DE22}"/>
            </a:ext>
          </a:extLst>
        </xdr:cNvPr>
        <xdr:cNvSpPr txBox="1"/>
      </xdr:nvSpPr>
      <xdr:spPr>
        <a:xfrm>
          <a:off x="619125" y="1533525"/>
          <a:ext cx="9810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=TRIM(B7)</a:t>
          </a:r>
        </a:p>
      </xdr:txBody>
    </xdr:sp>
    <xdr:clientData/>
  </xdr:oneCellAnchor>
  <xdr:oneCellAnchor>
    <xdr:from>
      <xdr:col>1</xdr:col>
      <xdr:colOff>19050</xdr:colOff>
      <xdr:row>15</xdr:row>
      <xdr:rowOff>161925</xdr:rowOff>
    </xdr:from>
    <xdr:ext cx="109537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304F47-336C-3595-A092-EDBC35E1C1A7}"/>
            </a:ext>
          </a:extLst>
        </xdr:cNvPr>
        <xdr:cNvSpPr txBox="1"/>
      </xdr:nvSpPr>
      <xdr:spPr>
        <a:xfrm>
          <a:off x="628650" y="3019425"/>
          <a:ext cx="10953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=LEFT(B14,3)</a:t>
          </a:r>
        </a:p>
      </xdr:txBody>
    </xdr:sp>
    <xdr:clientData/>
  </xdr:oneCellAnchor>
  <xdr:oneCellAnchor>
    <xdr:from>
      <xdr:col>1</xdr:col>
      <xdr:colOff>114301</xdr:colOff>
      <xdr:row>22</xdr:row>
      <xdr:rowOff>171451</xdr:rowOff>
    </xdr:from>
    <xdr:ext cx="1171574" cy="2286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93F2A70-11BF-333D-266E-27B8307BF1DA}"/>
            </a:ext>
          </a:extLst>
        </xdr:cNvPr>
        <xdr:cNvSpPr txBox="1"/>
      </xdr:nvSpPr>
      <xdr:spPr>
        <a:xfrm>
          <a:off x="723901" y="4362451"/>
          <a:ext cx="1171574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=RIGHT(B22,3)</a:t>
          </a:r>
        </a:p>
      </xdr:txBody>
    </xdr:sp>
    <xdr:clientData/>
  </xdr:oneCellAnchor>
  <xdr:oneCellAnchor>
    <xdr:from>
      <xdr:col>10</xdr:col>
      <xdr:colOff>28576</xdr:colOff>
      <xdr:row>8</xdr:row>
      <xdr:rowOff>0</xdr:rowOff>
    </xdr:from>
    <xdr:ext cx="1171574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D797F6B-AF51-F0FB-F34B-023078D6125D}"/>
            </a:ext>
          </a:extLst>
        </xdr:cNvPr>
        <xdr:cNvSpPr txBox="1"/>
      </xdr:nvSpPr>
      <xdr:spPr>
        <a:xfrm>
          <a:off x="6124576" y="1524000"/>
          <a:ext cx="11715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=MID(K7,5,3)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496C-71A5-4895-A6DD-9BAEB2707AA6}">
  <dimension ref="A1:P28"/>
  <sheetViews>
    <sheetView tabSelected="1" workbookViewId="0">
      <selection activeCell="D38" sqref="D38"/>
    </sheetView>
  </sheetViews>
  <sheetFormatPr defaultRowHeight="15" x14ac:dyDescent="0.25"/>
  <cols>
    <col min="5" max="5" width="9.28515625" customWidth="1"/>
    <col min="6" max="6" width="80.140625" bestFit="1" customWidth="1"/>
  </cols>
  <sheetData>
    <row r="1" spans="1:16" ht="21.75" customHeight="1" x14ac:dyDescent="0.4">
      <c r="A1" s="2"/>
      <c r="B1" s="2"/>
      <c r="C1" s="2"/>
      <c r="D1" s="2"/>
      <c r="E1" s="3"/>
      <c r="F1" s="6" t="s">
        <v>0</v>
      </c>
      <c r="G1" s="4"/>
      <c r="H1" s="4"/>
      <c r="I1" s="4"/>
      <c r="J1" s="1"/>
    </row>
    <row r="3" spans="1:16" x14ac:dyDescent="0.25">
      <c r="A3" s="5"/>
      <c r="B3" s="5"/>
      <c r="C3" s="5"/>
      <c r="D3" s="5"/>
      <c r="E3" s="5"/>
      <c r="F3" s="5" t="s">
        <v>1</v>
      </c>
      <c r="G3" s="5"/>
      <c r="H3" s="5"/>
      <c r="I3" s="5"/>
      <c r="J3" s="7"/>
      <c r="K3" s="7"/>
      <c r="L3" s="7"/>
      <c r="M3" s="7"/>
      <c r="N3" s="7"/>
      <c r="O3" s="7"/>
      <c r="P3" s="7"/>
    </row>
    <row r="5" spans="1:16" x14ac:dyDescent="0.25">
      <c r="A5" s="5" t="s">
        <v>2</v>
      </c>
      <c r="B5" s="2"/>
      <c r="C5" s="2"/>
      <c r="D5" s="2"/>
      <c r="E5" s="2"/>
      <c r="F5" s="2"/>
      <c r="G5" s="2"/>
      <c r="H5" s="2"/>
      <c r="I5" s="2"/>
    </row>
    <row r="6" spans="1:16" x14ac:dyDescent="0.25">
      <c r="A6" s="8" t="s">
        <v>3</v>
      </c>
      <c r="B6" s="9"/>
      <c r="C6" s="9"/>
      <c r="D6" s="9"/>
      <c r="E6" s="9"/>
      <c r="F6" s="9"/>
      <c r="G6" s="9"/>
      <c r="H6" s="9"/>
      <c r="I6" s="9"/>
    </row>
    <row r="7" spans="1:16" x14ac:dyDescent="0.25">
      <c r="A7" s="8" t="s">
        <v>9</v>
      </c>
      <c r="B7" s="8"/>
      <c r="C7" s="9"/>
      <c r="D7" s="9"/>
      <c r="E7" s="9"/>
      <c r="F7" s="9"/>
      <c r="G7" s="9"/>
      <c r="H7" s="9"/>
      <c r="I7" s="9"/>
    </row>
    <row r="8" spans="1:16" x14ac:dyDescent="0.25">
      <c r="A8" s="9" t="s">
        <v>4</v>
      </c>
      <c r="B8" s="9"/>
      <c r="C8" s="9"/>
      <c r="D8" s="9"/>
      <c r="E8" s="9"/>
      <c r="F8" s="9"/>
      <c r="G8" s="9"/>
      <c r="H8" s="9"/>
      <c r="I8" s="9"/>
    </row>
    <row r="9" spans="1:16" x14ac:dyDescent="0.25">
      <c r="A9" s="9"/>
      <c r="B9" s="9"/>
      <c r="C9" s="9"/>
      <c r="D9" s="9"/>
      <c r="E9" s="9"/>
      <c r="F9" s="9"/>
      <c r="G9" s="9"/>
      <c r="H9" s="9"/>
      <c r="I9" s="9"/>
    </row>
    <row r="10" spans="1:16" x14ac:dyDescent="0.25">
      <c r="A10" s="8" t="s">
        <v>10</v>
      </c>
      <c r="B10" s="8"/>
      <c r="C10" s="8"/>
      <c r="D10" s="9"/>
      <c r="E10" s="9"/>
      <c r="F10" s="9"/>
      <c r="G10" s="9"/>
      <c r="H10" s="9"/>
      <c r="I10" s="9"/>
    </row>
    <row r="11" spans="1:16" x14ac:dyDescent="0.25">
      <c r="A11" s="9" t="s">
        <v>5</v>
      </c>
      <c r="B11" s="9"/>
      <c r="C11" s="9"/>
      <c r="D11" s="9"/>
      <c r="E11" s="9"/>
      <c r="F11" s="9"/>
      <c r="G11" s="9"/>
      <c r="H11" s="9"/>
      <c r="I11" s="9"/>
    </row>
    <row r="12" spans="1:16" x14ac:dyDescent="0.25">
      <c r="A12" s="9" t="s">
        <v>6</v>
      </c>
      <c r="B12" s="9"/>
      <c r="C12" s="9"/>
      <c r="D12" s="9"/>
      <c r="E12" s="9"/>
      <c r="F12" s="9"/>
      <c r="G12" s="9"/>
      <c r="H12" s="9"/>
      <c r="I12" s="9"/>
    </row>
    <row r="13" spans="1:16" x14ac:dyDescent="0.25">
      <c r="A13" s="9" t="s">
        <v>7</v>
      </c>
      <c r="B13" s="9"/>
      <c r="C13" s="9"/>
      <c r="D13" s="9"/>
      <c r="E13" s="9"/>
      <c r="F13" s="9"/>
      <c r="G13" s="9"/>
      <c r="H13" s="9"/>
      <c r="I13" s="9"/>
    </row>
    <row r="14" spans="1:16" x14ac:dyDescent="0.25">
      <c r="A14" s="9" t="s">
        <v>8</v>
      </c>
      <c r="B14" s="9"/>
      <c r="C14" s="9"/>
      <c r="D14" s="9"/>
      <c r="E14" s="9"/>
      <c r="F14" s="9"/>
      <c r="G14" s="9"/>
      <c r="H14" s="9"/>
      <c r="I14" s="9"/>
    </row>
    <row r="15" spans="1:16" x14ac:dyDescent="0.25">
      <c r="A15" s="9"/>
      <c r="B15" s="9"/>
      <c r="C15" s="9"/>
      <c r="D15" s="9"/>
      <c r="E15" s="9"/>
      <c r="F15" s="9"/>
      <c r="G15" s="9"/>
      <c r="H15" s="9"/>
      <c r="I15" s="9"/>
    </row>
    <row r="16" spans="1:16" x14ac:dyDescent="0.25">
      <c r="A16" s="8" t="s">
        <v>11</v>
      </c>
      <c r="B16" s="9"/>
      <c r="C16" s="9"/>
      <c r="D16" s="9"/>
      <c r="E16" s="9"/>
      <c r="F16" s="9"/>
      <c r="G16" s="9"/>
      <c r="H16" s="9"/>
      <c r="I16" s="9"/>
    </row>
    <row r="17" spans="1:9" x14ac:dyDescent="0.25">
      <c r="A17" s="9" t="s">
        <v>12</v>
      </c>
      <c r="B17" s="9"/>
      <c r="C17" s="9"/>
      <c r="D17" s="9"/>
      <c r="E17" s="9"/>
      <c r="F17" s="9"/>
      <c r="G17" s="9"/>
      <c r="H17" s="9"/>
      <c r="I17" s="9"/>
    </row>
    <row r="18" spans="1:9" x14ac:dyDescent="0.25">
      <c r="A18" s="9" t="s">
        <v>13</v>
      </c>
      <c r="B18" s="9"/>
      <c r="C18" s="9"/>
      <c r="D18" s="9"/>
      <c r="E18" s="9"/>
      <c r="F18" s="9"/>
      <c r="G18" s="9"/>
      <c r="H18" s="9"/>
      <c r="I18" s="9"/>
    </row>
    <row r="19" spans="1:9" x14ac:dyDescent="0.25">
      <c r="A19" s="9" t="s">
        <v>14</v>
      </c>
      <c r="B19" s="9"/>
      <c r="C19" s="9"/>
      <c r="D19" s="9"/>
      <c r="E19" s="9"/>
      <c r="F19" s="9"/>
      <c r="G19" s="9"/>
      <c r="H19" s="9"/>
      <c r="I19" s="9"/>
    </row>
    <row r="20" spans="1:9" x14ac:dyDescent="0.25">
      <c r="A20" s="9" t="s">
        <v>15</v>
      </c>
      <c r="B20" s="9"/>
      <c r="C20" s="9"/>
      <c r="D20" s="9"/>
      <c r="E20" s="9"/>
      <c r="F20" s="9"/>
      <c r="G20" s="9"/>
      <c r="H20" s="9"/>
      <c r="I20" s="9"/>
    </row>
    <row r="21" spans="1:9" x14ac:dyDescent="0.25">
      <c r="A21" s="9"/>
      <c r="B21" s="9"/>
      <c r="C21" s="9"/>
      <c r="D21" s="9"/>
      <c r="E21" s="9"/>
      <c r="F21" s="9"/>
      <c r="G21" s="9"/>
      <c r="H21" s="9"/>
      <c r="I21" s="9"/>
    </row>
    <row r="22" spans="1:9" x14ac:dyDescent="0.25">
      <c r="A22" s="8" t="s">
        <v>16</v>
      </c>
      <c r="B22" s="9"/>
      <c r="C22" s="9"/>
      <c r="D22" s="9"/>
      <c r="E22" s="9"/>
      <c r="F22" s="9"/>
      <c r="G22" s="9"/>
      <c r="H22" s="9"/>
      <c r="I22" s="9"/>
    </row>
    <row r="23" spans="1:9" x14ac:dyDescent="0.25">
      <c r="A23" s="9" t="s">
        <v>17</v>
      </c>
      <c r="B23" s="9"/>
      <c r="C23" s="9"/>
      <c r="D23" s="9"/>
      <c r="E23" s="9"/>
      <c r="F23" s="9"/>
      <c r="G23" s="9"/>
      <c r="H23" s="9"/>
      <c r="I23" s="9"/>
    </row>
    <row r="24" spans="1:9" x14ac:dyDescent="0.25">
      <c r="A24" s="9" t="s">
        <v>18</v>
      </c>
      <c r="B24" s="9"/>
      <c r="C24" s="9"/>
      <c r="D24" s="9"/>
      <c r="E24" s="9"/>
      <c r="F24" s="9"/>
      <c r="G24" s="9"/>
      <c r="H24" s="9"/>
      <c r="I24" s="9"/>
    </row>
    <row r="25" spans="1:9" x14ac:dyDescent="0.25">
      <c r="A25" s="9" t="s">
        <v>19</v>
      </c>
      <c r="B25" s="9"/>
      <c r="C25" s="9"/>
      <c r="D25" s="9"/>
      <c r="E25" s="9"/>
      <c r="F25" s="9"/>
      <c r="G25" s="9"/>
      <c r="H25" s="9"/>
      <c r="I25" s="9"/>
    </row>
    <row r="26" spans="1:9" x14ac:dyDescent="0.25">
      <c r="A26" s="9" t="s">
        <v>20</v>
      </c>
      <c r="B26" s="9"/>
      <c r="C26" s="9"/>
      <c r="D26" s="9"/>
      <c r="E26" s="9"/>
      <c r="F26" s="9"/>
      <c r="G26" s="9"/>
      <c r="H26" s="9"/>
      <c r="I26" s="9"/>
    </row>
    <row r="27" spans="1:9" x14ac:dyDescent="0.25">
      <c r="A27" s="9" t="s">
        <v>21</v>
      </c>
      <c r="B27" s="9"/>
      <c r="C27" s="9"/>
      <c r="D27" s="9"/>
      <c r="E27" s="9"/>
      <c r="F27" s="9"/>
      <c r="G27" s="9"/>
      <c r="H27" s="9"/>
      <c r="I27" s="9"/>
    </row>
    <row r="28" spans="1:9" x14ac:dyDescent="0.25">
      <c r="A28" s="9"/>
      <c r="B28" s="9"/>
      <c r="C28" s="9"/>
      <c r="D28" s="9"/>
      <c r="E28" s="9"/>
      <c r="F28" s="9"/>
      <c r="G28" s="9"/>
      <c r="H28" s="9"/>
      <c r="I2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B0D5-73F2-4D96-BE01-E12FD8C1159D}">
  <dimension ref="A1:S24"/>
  <sheetViews>
    <sheetView topLeftCell="A16" workbookViewId="0">
      <selection activeCell="E24" sqref="E24"/>
    </sheetView>
  </sheetViews>
  <sheetFormatPr defaultRowHeight="15" x14ac:dyDescent="0.25"/>
  <cols>
    <col min="3" max="3" width="10.140625" customWidth="1"/>
    <col min="4" max="4" width="11.7109375" customWidth="1"/>
    <col min="9" max="9" width="11.28515625" customWidth="1"/>
  </cols>
  <sheetData>
    <row r="1" spans="1:19" x14ac:dyDescent="0.25">
      <c r="A1" s="5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2"/>
      <c r="P1" s="2"/>
      <c r="Q1" s="2"/>
      <c r="R1" s="2"/>
      <c r="S1" s="2"/>
    </row>
    <row r="3" spans="1:19" x14ac:dyDescent="0.25">
      <c r="C3" s="2" t="s">
        <v>23</v>
      </c>
      <c r="D3" s="2" t="s">
        <v>24</v>
      </c>
      <c r="E3" s="2" t="s">
        <v>25</v>
      </c>
      <c r="G3" s="8" t="s">
        <v>31</v>
      </c>
      <c r="H3" s="9"/>
      <c r="I3" s="9"/>
      <c r="J3" s="9"/>
      <c r="K3" s="9"/>
    </row>
    <row r="4" spans="1:19" x14ac:dyDescent="0.25">
      <c r="C4" s="10" t="s">
        <v>26</v>
      </c>
      <c r="D4" s="10" t="s">
        <v>29</v>
      </c>
      <c r="E4" s="11">
        <v>4000</v>
      </c>
      <c r="G4" s="8" t="s">
        <v>32</v>
      </c>
      <c r="H4" s="9" t="s">
        <v>33</v>
      </c>
      <c r="I4" s="9"/>
      <c r="J4" s="9"/>
      <c r="K4" s="9"/>
    </row>
    <row r="5" spans="1:19" x14ac:dyDescent="0.25">
      <c r="C5" s="10" t="s">
        <v>27</v>
      </c>
      <c r="D5" s="10" t="s">
        <v>30</v>
      </c>
      <c r="E5" s="11">
        <v>5000</v>
      </c>
      <c r="G5" s="9"/>
      <c r="H5" s="9" t="s">
        <v>34</v>
      </c>
      <c r="I5" s="9"/>
      <c r="J5" s="9"/>
      <c r="K5" s="9"/>
    </row>
    <row r="6" spans="1:19" x14ac:dyDescent="0.25">
      <c r="C6" s="10" t="s">
        <v>28</v>
      </c>
      <c r="D6" s="10" t="s">
        <v>29</v>
      </c>
      <c r="E6" s="11">
        <v>2500</v>
      </c>
      <c r="G6" s="9"/>
      <c r="H6" s="9" t="s">
        <v>35</v>
      </c>
      <c r="I6" s="9"/>
      <c r="J6" s="9"/>
      <c r="K6" s="9"/>
    </row>
    <row r="7" spans="1:19" x14ac:dyDescent="0.25">
      <c r="G7" s="9"/>
      <c r="H7" s="9" t="s">
        <v>36</v>
      </c>
      <c r="I7" s="9"/>
      <c r="J7" s="9"/>
      <c r="K7" s="9"/>
    </row>
    <row r="8" spans="1:19" x14ac:dyDescent="0.25">
      <c r="G8" s="9"/>
      <c r="H8" s="9"/>
      <c r="I8" s="9"/>
      <c r="J8" s="9"/>
      <c r="K8" s="9"/>
    </row>
    <row r="9" spans="1:19" x14ac:dyDescent="0.25">
      <c r="G9" s="9"/>
      <c r="H9" s="14" t="s">
        <v>23</v>
      </c>
      <c r="I9" s="14" t="s">
        <v>24</v>
      </c>
      <c r="J9" s="14" t="s">
        <v>25</v>
      </c>
      <c r="K9" s="9"/>
    </row>
    <row r="10" spans="1:19" x14ac:dyDescent="0.25">
      <c r="G10" s="9"/>
      <c r="H10" s="12" t="s">
        <v>27</v>
      </c>
      <c r="I10" s="12" t="s">
        <v>30</v>
      </c>
      <c r="J10" s="13">
        <v>5000</v>
      </c>
      <c r="K10" s="9"/>
    </row>
    <row r="11" spans="1:19" x14ac:dyDescent="0.25">
      <c r="G11" s="9"/>
      <c r="H11" s="12" t="s">
        <v>28</v>
      </c>
      <c r="I11" s="12" t="s">
        <v>29</v>
      </c>
      <c r="J11" s="13">
        <v>2500</v>
      </c>
      <c r="K11" s="9"/>
    </row>
    <row r="12" spans="1:19" x14ac:dyDescent="0.25">
      <c r="G12" s="9"/>
      <c r="H12" s="12" t="s">
        <v>26</v>
      </c>
      <c r="I12" s="12" t="s">
        <v>29</v>
      </c>
      <c r="J12" s="13">
        <v>4000</v>
      </c>
      <c r="K12" s="9"/>
    </row>
    <row r="13" spans="1:19" x14ac:dyDescent="0.25">
      <c r="G13" s="9"/>
      <c r="H13" s="9"/>
      <c r="I13" s="9"/>
      <c r="J13" s="9"/>
      <c r="K13" s="9"/>
    </row>
    <row r="14" spans="1:19" x14ac:dyDescent="0.25">
      <c r="G14" s="9"/>
      <c r="H14" s="9"/>
      <c r="I14" s="9"/>
      <c r="J14" s="9"/>
      <c r="K14" s="9"/>
    </row>
    <row r="17" spans="3:13" x14ac:dyDescent="0.25">
      <c r="C17" s="2" t="s">
        <v>23</v>
      </c>
      <c r="D17" s="2" t="s">
        <v>24</v>
      </c>
      <c r="E17" s="2" t="s">
        <v>25</v>
      </c>
      <c r="G17" s="8" t="s">
        <v>37</v>
      </c>
      <c r="H17" s="9" t="s">
        <v>38</v>
      </c>
      <c r="I17" s="9"/>
      <c r="J17" s="9"/>
      <c r="K17" s="9"/>
      <c r="L17" s="9"/>
      <c r="M17" s="9"/>
    </row>
    <row r="18" spans="3:13" x14ac:dyDescent="0.25">
      <c r="C18" s="10" t="s">
        <v>26</v>
      </c>
      <c r="D18" s="10" t="s">
        <v>29</v>
      </c>
      <c r="E18" s="11">
        <v>4000</v>
      </c>
      <c r="G18" s="9"/>
      <c r="H18" s="9" t="s">
        <v>39</v>
      </c>
      <c r="I18" s="9"/>
      <c r="J18" s="9"/>
      <c r="K18" s="9"/>
      <c r="L18" s="9"/>
      <c r="M18" s="9"/>
    </row>
    <row r="19" spans="3:13" x14ac:dyDescent="0.25">
      <c r="C19" s="10" t="s">
        <v>27</v>
      </c>
      <c r="D19" s="10" t="s">
        <v>30</v>
      </c>
      <c r="E19" s="11">
        <v>5000</v>
      </c>
      <c r="G19" s="9"/>
      <c r="H19" s="9"/>
      <c r="I19" s="9"/>
      <c r="J19" s="9"/>
      <c r="K19" s="9"/>
      <c r="L19" s="9"/>
      <c r="M19" s="9"/>
    </row>
    <row r="20" spans="3:13" x14ac:dyDescent="0.25">
      <c r="C20" s="10" t="s">
        <v>28</v>
      </c>
      <c r="D20" s="10" t="s">
        <v>29</v>
      </c>
      <c r="E20" s="11">
        <v>2500</v>
      </c>
      <c r="G20" s="9"/>
      <c r="H20" s="14" t="s">
        <v>23</v>
      </c>
      <c r="I20" s="14" t="s">
        <v>24</v>
      </c>
      <c r="J20" s="14" t="s">
        <v>25</v>
      </c>
      <c r="K20" s="9"/>
      <c r="L20" s="9"/>
      <c r="M20" s="9"/>
    </row>
    <row r="21" spans="3:13" x14ac:dyDescent="0.25">
      <c r="G21" s="9"/>
      <c r="H21" s="12" t="s">
        <v>27</v>
      </c>
      <c r="I21" s="12" t="s">
        <v>30</v>
      </c>
      <c r="J21" s="13">
        <v>5000</v>
      </c>
      <c r="K21" s="9"/>
      <c r="L21" s="9"/>
      <c r="M21" s="9"/>
    </row>
    <row r="22" spans="3:13" x14ac:dyDescent="0.25">
      <c r="G22" s="9"/>
      <c r="H22" s="12" t="s">
        <v>26</v>
      </c>
      <c r="I22" s="12" t="s">
        <v>29</v>
      </c>
      <c r="J22" s="13">
        <v>4000</v>
      </c>
      <c r="K22" s="9"/>
      <c r="L22" s="9"/>
      <c r="M22" s="9"/>
    </row>
    <row r="23" spans="3:13" x14ac:dyDescent="0.25">
      <c r="G23" s="9"/>
      <c r="H23" s="12" t="s">
        <v>28</v>
      </c>
      <c r="I23" s="12" t="s">
        <v>29</v>
      </c>
      <c r="J23" s="13">
        <v>2500</v>
      </c>
      <c r="K23" s="9"/>
      <c r="L23" s="9"/>
      <c r="M23" s="9"/>
    </row>
    <row r="24" spans="3:13" x14ac:dyDescent="0.25">
      <c r="G24" s="9"/>
      <c r="H24" s="9"/>
      <c r="I24" s="9"/>
      <c r="J24" s="9"/>
      <c r="K24" s="9"/>
      <c r="L24" s="9"/>
      <c r="M24" s="9"/>
    </row>
  </sheetData>
  <sortState xmlns:xlrd2="http://schemas.microsoft.com/office/spreadsheetml/2017/richdata2" ref="H21:J23">
    <sortCondition descending="1" ref="J20:J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7952-0CDA-4D13-BE8C-F7C0C3A98F70}">
  <dimension ref="A1:O26"/>
  <sheetViews>
    <sheetView topLeftCell="A10" workbookViewId="0">
      <selection activeCell="M15" sqref="M15"/>
    </sheetView>
  </sheetViews>
  <sheetFormatPr defaultRowHeight="15" x14ac:dyDescent="0.25"/>
  <cols>
    <col min="11" max="11" width="13" customWidth="1"/>
    <col min="13" max="13" width="12" customWidth="1"/>
  </cols>
  <sheetData>
    <row r="1" spans="1:15" x14ac:dyDescent="0.25">
      <c r="A1" s="5" t="s">
        <v>40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10" t="s">
        <v>41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x14ac:dyDescent="0.25">
      <c r="A3" s="16" t="s">
        <v>42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x14ac:dyDescent="0.25">
      <c r="A4" s="16" t="s">
        <v>43</v>
      </c>
      <c r="B4" s="10"/>
      <c r="C4" s="10"/>
      <c r="D4" s="10"/>
      <c r="E4" s="10"/>
      <c r="F4" s="10"/>
      <c r="G4" s="10"/>
      <c r="H4" s="10"/>
      <c r="I4" s="16">
        <v>4</v>
      </c>
      <c r="J4" s="16" t="s">
        <v>60</v>
      </c>
      <c r="K4" s="10"/>
      <c r="L4" s="10"/>
      <c r="M4" s="10"/>
      <c r="N4" s="10"/>
      <c r="O4" s="10"/>
    </row>
    <row r="5" spans="1:15" x14ac:dyDescent="0.25">
      <c r="A5" s="16" t="s">
        <v>44</v>
      </c>
      <c r="B5" s="19" t="s">
        <v>53</v>
      </c>
      <c r="C5" s="19"/>
      <c r="D5" s="19" t="s">
        <v>54</v>
      </c>
      <c r="E5" s="19"/>
      <c r="F5" s="10"/>
      <c r="G5" s="10"/>
      <c r="H5" s="10"/>
      <c r="I5" s="10"/>
      <c r="J5" s="16" t="s">
        <v>61</v>
      </c>
      <c r="K5" s="10"/>
      <c r="L5" s="10"/>
      <c r="M5" s="10"/>
      <c r="N5" s="10"/>
      <c r="O5" s="10"/>
    </row>
    <row r="6" spans="1:15" x14ac:dyDescent="0.25">
      <c r="A6" s="10"/>
      <c r="B6" s="17" t="s">
        <v>45</v>
      </c>
      <c r="C6" s="17"/>
      <c r="D6" s="17" t="str">
        <f>TRIM(B6)</f>
        <v>Sumit Mishra</v>
      </c>
      <c r="E6" s="17"/>
      <c r="F6" s="10"/>
      <c r="G6" s="10"/>
      <c r="H6" s="10"/>
      <c r="I6" s="10"/>
      <c r="J6" s="16" t="s">
        <v>44</v>
      </c>
      <c r="K6" s="14" t="s">
        <v>50</v>
      </c>
      <c r="L6" s="14" t="s">
        <v>62</v>
      </c>
      <c r="M6" s="10"/>
      <c r="N6" s="10"/>
      <c r="O6" s="10"/>
    </row>
    <row r="7" spans="1:15" x14ac:dyDescent="0.25">
      <c r="A7" s="10"/>
      <c r="B7" s="18"/>
      <c r="C7" s="18"/>
      <c r="D7" s="18"/>
      <c r="E7" s="18"/>
      <c r="F7" s="10"/>
      <c r="G7" s="10"/>
      <c r="H7" s="10"/>
      <c r="I7" s="10"/>
      <c r="J7" s="10"/>
      <c r="K7" s="18" t="s">
        <v>63</v>
      </c>
      <c r="L7" s="18" t="str">
        <f>MID(K7,5,3)</f>
        <v>458</v>
      </c>
      <c r="M7" s="10"/>
      <c r="N7" s="10"/>
      <c r="O7" s="10"/>
    </row>
    <row r="8" spans="1:15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x14ac:dyDescent="0.25">
      <c r="A9" s="16" t="s">
        <v>46</v>
      </c>
      <c r="B9" s="10"/>
      <c r="C9" s="10"/>
      <c r="D9" s="10"/>
      <c r="E9" s="10"/>
      <c r="F9" s="10"/>
      <c r="G9" s="10"/>
      <c r="H9" s="10"/>
      <c r="I9" s="10"/>
      <c r="J9" s="16" t="s">
        <v>46</v>
      </c>
      <c r="K9" s="10"/>
      <c r="L9" s="10"/>
      <c r="M9" s="10"/>
      <c r="N9" s="10"/>
      <c r="O9" s="10"/>
    </row>
    <row r="10" spans="1:15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x14ac:dyDescent="0.25">
      <c r="A11" s="16" t="s">
        <v>47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x14ac:dyDescent="0.25">
      <c r="A12" s="16" t="s">
        <v>48</v>
      </c>
      <c r="B12" s="10"/>
      <c r="C12" s="10"/>
      <c r="D12" s="10"/>
      <c r="E12" s="10"/>
      <c r="F12" s="10"/>
      <c r="G12" s="10"/>
      <c r="H12" s="10"/>
      <c r="I12" s="16">
        <v>5</v>
      </c>
      <c r="J12" s="10" t="s">
        <v>64</v>
      </c>
      <c r="K12" s="10"/>
      <c r="L12" s="10"/>
      <c r="M12" s="10"/>
      <c r="N12" s="10"/>
      <c r="O12" s="10"/>
    </row>
    <row r="13" spans="1:15" x14ac:dyDescent="0.25">
      <c r="A13" s="16" t="s">
        <v>49</v>
      </c>
      <c r="B13" s="14" t="s">
        <v>50</v>
      </c>
      <c r="C13" s="14" t="s">
        <v>51</v>
      </c>
      <c r="D13" s="10"/>
      <c r="E13" s="10"/>
      <c r="F13" s="10"/>
      <c r="G13" s="10"/>
      <c r="H13" s="10"/>
      <c r="I13" s="10"/>
      <c r="J13" s="10" t="s">
        <v>65</v>
      </c>
      <c r="K13" s="10"/>
      <c r="L13" s="10"/>
      <c r="M13" s="10"/>
      <c r="N13" s="10"/>
      <c r="O13" s="10"/>
    </row>
    <row r="14" spans="1:15" x14ac:dyDescent="0.25">
      <c r="A14" s="10"/>
      <c r="B14" s="18" t="s">
        <v>52</v>
      </c>
      <c r="C14" s="18" t="str">
        <f>LEFT(B14,3)</f>
        <v>EMP</v>
      </c>
      <c r="D14" s="10"/>
      <c r="E14" s="10"/>
      <c r="F14" s="10"/>
      <c r="G14" s="10"/>
      <c r="H14" s="10"/>
      <c r="I14" s="10"/>
      <c r="J14" s="10" t="s">
        <v>49</v>
      </c>
      <c r="K14" s="14" t="s">
        <v>66</v>
      </c>
      <c r="L14" s="14" t="s">
        <v>67</v>
      </c>
      <c r="M14" s="14" t="s">
        <v>68</v>
      </c>
      <c r="N14" s="10"/>
      <c r="O14" s="10"/>
    </row>
    <row r="15" spans="1:15" x14ac:dyDescent="0.25">
      <c r="A15" s="10"/>
      <c r="B15" s="18"/>
      <c r="C15" s="18"/>
      <c r="D15" s="10"/>
      <c r="E15" s="10"/>
      <c r="F15" s="10"/>
      <c r="G15" s="10"/>
      <c r="H15" s="10"/>
      <c r="I15" s="10"/>
      <c r="J15" s="10"/>
      <c r="K15" s="18" t="s">
        <v>69</v>
      </c>
      <c r="L15" s="18" t="s">
        <v>70</v>
      </c>
      <c r="M15" s="18" t="str">
        <f>_xlfn.CONCAT(K15," ",L15)</f>
        <v>Sumit Mishra</v>
      </c>
      <c r="N15" s="10"/>
      <c r="O15" s="10"/>
    </row>
    <row r="16" spans="1:15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8"/>
      <c r="L16" s="18"/>
      <c r="M16" s="18"/>
      <c r="N16" s="10"/>
      <c r="O16" s="10"/>
    </row>
    <row r="17" spans="1:15" x14ac:dyDescent="0.25">
      <c r="A17" s="16" t="s">
        <v>46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x14ac:dyDescent="0.25">
      <c r="A19" s="10" t="s">
        <v>55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5">
      <c r="A20" s="10" t="s">
        <v>56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5">
      <c r="A21" s="16" t="s">
        <v>49</v>
      </c>
      <c r="B21" s="14" t="s">
        <v>50</v>
      </c>
      <c r="C21" s="14" t="s">
        <v>57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x14ac:dyDescent="0.25">
      <c r="A22" s="10"/>
      <c r="B22" s="18" t="s">
        <v>58</v>
      </c>
      <c r="C22" s="18" t="str">
        <f>RIGHT(B22,3)</f>
        <v>ITM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x14ac:dyDescent="0.25">
      <c r="A23" s="10"/>
      <c r="B23" s="18"/>
      <c r="C23" s="18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x14ac:dyDescent="0.25">
      <c r="A24" s="16" t="s">
        <v>59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19FD-5ACA-4F86-B2D0-E521FA4F7009}">
  <dimension ref="A1:N19"/>
  <sheetViews>
    <sheetView workbookViewId="0">
      <selection activeCell="G11" sqref="G11"/>
    </sheetView>
  </sheetViews>
  <sheetFormatPr defaultRowHeight="15" x14ac:dyDescent="0.25"/>
  <cols>
    <col min="2" max="2" width="12.85546875" customWidth="1"/>
    <col min="3" max="3" width="14.28515625" customWidth="1"/>
    <col min="5" max="5" width="85.7109375" customWidth="1"/>
  </cols>
  <sheetData>
    <row r="1" spans="1:14" x14ac:dyDescent="0.25">
      <c r="A1" s="5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16" t="s">
        <v>3</v>
      </c>
      <c r="B2" s="10"/>
      <c r="C2" s="10"/>
      <c r="D2" s="10"/>
      <c r="E2" s="10"/>
    </row>
    <row r="3" spans="1:14" x14ac:dyDescent="0.25">
      <c r="A3" s="10" t="s">
        <v>72</v>
      </c>
      <c r="B3" s="10"/>
      <c r="C3" s="10"/>
      <c r="D3" s="10"/>
      <c r="E3" s="10"/>
    </row>
    <row r="4" spans="1:14" x14ac:dyDescent="0.25">
      <c r="A4" s="10" t="s">
        <v>73</v>
      </c>
      <c r="B4" s="10"/>
      <c r="C4" s="10"/>
      <c r="D4" s="10"/>
      <c r="E4" s="10"/>
    </row>
    <row r="5" spans="1:14" x14ac:dyDescent="0.25">
      <c r="A5" s="10"/>
      <c r="B5" s="10"/>
      <c r="C5" s="10"/>
      <c r="D5" s="10"/>
      <c r="E5" s="10"/>
    </row>
    <row r="6" spans="1:14" x14ac:dyDescent="0.25">
      <c r="A6" s="16" t="s">
        <v>74</v>
      </c>
      <c r="B6" s="10"/>
      <c r="C6" s="10"/>
      <c r="D6" s="10"/>
      <c r="E6" s="10"/>
    </row>
    <row r="7" spans="1:14" x14ac:dyDescent="0.25">
      <c r="A7" s="10" t="s">
        <v>75</v>
      </c>
      <c r="B7" s="10"/>
      <c r="C7" s="10"/>
      <c r="D7" s="10"/>
      <c r="E7" s="10"/>
    </row>
    <row r="8" spans="1:14" x14ac:dyDescent="0.25">
      <c r="A8" s="10" t="s">
        <v>76</v>
      </c>
      <c r="B8" s="10"/>
      <c r="C8" s="10"/>
      <c r="D8" s="10"/>
      <c r="E8" s="10"/>
    </row>
    <row r="9" spans="1:14" x14ac:dyDescent="0.25">
      <c r="A9" s="10" t="s">
        <v>77</v>
      </c>
      <c r="B9" s="10"/>
      <c r="C9" s="10"/>
      <c r="D9" s="10"/>
      <c r="E9" s="10"/>
    </row>
    <row r="10" spans="1:14" x14ac:dyDescent="0.25">
      <c r="A10" s="10"/>
      <c r="B10" s="10"/>
      <c r="C10" s="10"/>
      <c r="D10" s="10"/>
      <c r="E10" s="10"/>
    </row>
    <row r="11" spans="1:14" x14ac:dyDescent="0.25">
      <c r="A11" s="16" t="s">
        <v>46</v>
      </c>
      <c r="B11" s="20">
        <f ca="1">TODAY()</f>
        <v>46025</v>
      </c>
      <c r="C11" s="10"/>
      <c r="D11" s="10"/>
      <c r="E11" s="10"/>
    </row>
    <row r="12" spans="1:14" x14ac:dyDescent="0.25">
      <c r="A12" s="10"/>
      <c r="B12" s="10"/>
      <c r="C12" s="10"/>
      <c r="D12" s="10"/>
      <c r="E12" s="10"/>
    </row>
    <row r="13" spans="1:14" x14ac:dyDescent="0.25">
      <c r="A13" s="10" t="s">
        <v>78</v>
      </c>
      <c r="B13" s="10"/>
      <c r="C13" s="10"/>
      <c r="D13" s="10"/>
      <c r="E13" s="10"/>
    </row>
    <row r="14" spans="1:14" x14ac:dyDescent="0.25">
      <c r="A14" s="10" t="s">
        <v>79</v>
      </c>
      <c r="B14" s="10"/>
      <c r="C14" s="10"/>
      <c r="D14" s="10"/>
      <c r="E14" s="10"/>
    </row>
    <row r="15" spans="1:14" x14ac:dyDescent="0.25">
      <c r="A15" s="10"/>
      <c r="B15" s="10"/>
      <c r="C15" s="10"/>
      <c r="D15" s="10"/>
      <c r="E15" s="10"/>
    </row>
    <row r="16" spans="1:14" x14ac:dyDescent="0.25">
      <c r="A16" s="16" t="s">
        <v>49</v>
      </c>
      <c r="B16" s="18" t="s">
        <v>80</v>
      </c>
      <c r="C16" s="18" t="s">
        <v>81</v>
      </c>
      <c r="D16" s="10"/>
      <c r="E16" s="10"/>
    </row>
    <row r="17" spans="1:5" x14ac:dyDescent="0.25">
      <c r="A17" s="10"/>
      <c r="B17" s="21">
        <v>46023</v>
      </c>
      <c r="C17" s="21">
        <f ca="1">TODAY()-B17</f>
        <v>2</v>
      </c>
      <c r="D17" s="10"/>
      <c r="E17" s="10"/>
    </row>
    <row r="18" spans="1:5" x14ac:dyDescent="0.25">
      <c r="A18" s="10"/>
      <c r="B18" s="10"/>
      <c r="C18" s="10"/>
      <c r="D18" s="10"/>
      <c r="E18" s="10"/>
    </row>
    <row r="19" spans="1:5" x14ac:dyDescent="0.25">
      <c r="A19" s="10"/>
      <c r="B19" s="10"/>
      <c r="C19" s="10"/>
      <c r="D19" s="10"/>
      <c r="E19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E1CF-455A-48B5-AEA1-3A9A5465BFE2}">
  <dimension ref="A1:R45"/>
  <sheetViews>
    <sheetView topLeftCell="A6" workbookViewId="0">
      <selection activeCell="B17" sqref="B17:I34"/>
    </sheetView>
  </sheetViews>
  <sheetFormatPr defaultRowHeight="15" x14ac:dyDescent="0.25"/>
  <cols>
    <col min="3" max="3" width="15.140625" customWidth="1"/>
    <col min="4" max="4" width="12.7109375" customWidth="1"/>
    <col min="5" max="5" width="11.140625" customWidth="1"/>
    <col min="7" max="7" width="13.42578125" customWidth="1"/>
    <col min="10" max="10" width="15.7109375" customWidth="1"/>
    <col min="11" max="11" width="14.5703125" customWidth="1"/>
    <col min="12" max="12" width="11.5703125" customWidth="1"/>
    <col min="14" max="14" width="12.5703125" customWidth="1"/>
  </cols>
  <sheetData>
    <row r="1" spans="1:18" x14ac:dyDescent="0.25">
      <c r="A1" s="64" t="s">
        <v>139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6"/>
      <c r="R1" s="100"/>
    </row>
    <row r="2" spans="1:18" x14ac:dyDescent="0.25">
      <c r="A2" s="67" t="s">
        <v>140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100"/>
      <c r="R2" s="100"/>
    </row>
    <row r="3" spans="1:18" x14ac:dyDescent="0.25">
      <c r="A3" s="67" t="s">
        <v>141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9"/>
      <c r="Q3" s="100"/>
      <c r="R3" s="100"/>
    </row>
    <row r="4" spans="1:18" ht="15.75" thickBot="1" x14ac:dyDescent="0.3">
      <c r="A4" s="70" t="s">
        <v>142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2"/>
      <c r="Q4" s="100"/>
      <c r="R4" s="100"/>
    </row>
    <row r="5" spans="1:18" ht="15.75" thickBot="1" x14ac:dyDescent="0.3">
      <c r="A5" s="25"/>
      <c r="P5" s="26"/>
    </row>
    <row r="6" spans="1:18" x14ac:dyDescent="0.25">
      <c r="A6" s="25"/>
      <c r="C6" s="101" t="s">
        <v>143</v>
      </c>
      <c r="D6" s="102" t="s">
        <v>144</v>
      </c>
      <c r="E6" s="102" t="s">
        <v>145</v>
      </c>
      <c r="F6" s="102" t="s">
        <v>146</v>
      </c>
      <c r="G6" s="103" t="s">
        <v>147</v>
      </c>
      <c r="P6" s="26"/>
    </row>
    <row r="7" spans="1:18" x14ac:dyDescent="0.25">
      <c r="A7" s="25"/>
      <c r="C7" s="104" t="s">
        <v>148</v>
      </c>
      <c r="D7" s="105" t="s">
        <v>149</v>
      </c>
      <c r="E7" s="105" t="s">
        <v>150</v>
      </c>
      <c r="F7" s="105"/>
      <c r="G7" s="106">
        <v>81</v>
      </c>
      <c r="P7" s="26"/>
    </row>
    <row r="8" spans="1:18" x14ac:dyDescent="0.25">
      <c r="A8" s="25"/>
      <c r="C8" s="104" t="s">
        <v>151</v>
      </c>
      <c r="D8" s="105" t="s">
        <v>152</v>
      </c>
      <c r="E8" s="105" t="s">
        <v>150</v>
      </c>
      <c r="F8" s="105"/>
      <c r="G8" s="106">
        <v>121</v>
      </c>
      <c r="P8" s="26"/>
    </row>
    <row r="9" spans="1:18" x14ac:dyDescent="0.25">
      <c r="A9" s="25"/>
      <c r="C9" s="104" t="s">
        <v>153</v>
      </c>
      <c r="D9" s="105" t="s">
        <v>154</v>
      </c>
      <c r="E9" s="105" t="s">
        <v>155</v>
      </c>
      <c r="F9" s="105"/>
      <c r="G9" s="106">
        <v>239</v>
      </c>
      <c r="P9" s="26"/>
    </row>
    <row r="10" spans="1:18" x14ac:dyDescent="0.25">
      <c r="A10" s="25"/>
      <c r="C10" s="104" t="s">
        <v>156</v>
      </c>
      <c r="D10" s="105" t="s">
        <v>149</v>
      </c>
      <c r="E10" s="105" t="s">
        <v>150</v>
      </c>
      <c r="F10" s="105"/>
      <c r="G10" s="106">
        <v>500</v>
      </c>
      <c r="P10" s="26"/>
    </row>
    <row r="11" spans="1:18" x14ac:dyDescent="0.25">
      <c r="A11" s="25"/>
      <c r="C11" s="104" t="s">
        <v>157</v>
      </c>
      <c r="D11" s="105" t="s">
        <v>158</v>
      </c>
      <c r="E11" s="105" t="s">
        <v>159</v>
      </c>
      <c r="F11" s="105"/>
      <c r="G11" s="106">
        <v>423</v>
      </c>
      <c r="P11" s="26"/>
    </row>
    <row r="12" spans="1:18" x14ac:dyDescent="0.25">
      <c r="A12" s="25"/>
      <c r="C12" s="104" t="s">
        <v>160</v>
      </c>
      <c r="D12" s="105" t="s">
        <v>161</v>
      </c>
      <c r="E12" s="105" t="s">
        <v>150</v>
      </c>
      <c r="F12" s="105"/>
      <c r="G12" s="106">
        <v>160</v>
      </c>
      <c r="P12" s="26"/>
    </row>
    <row r="13" spans="1:18" x14ac:dyDescent="0.25">
      <c r="A13" s="25"/>
      <c r="C13" s="104" t="s">
        <v>162</v>
      </c>
      <c r="D13" s="105" t="s">
        <v>163</v>
      </c>
      <c r="E13" s="105" t="s">
        <v>150</v>
      </c>
      <c r="F13" s="105"/>
      <c r="G13" s="106">
        <v>348</v>
      </c>
      <c r="P13" s="26"/>
    </row>
    <row r="14" spans="1:18" x14ac:dyDescent="0.25">
      <c r="A14" s="25"/>
      <c r="C14" s="104" t="s">
        <v>164</v>
      </c>
      <c r="D14" s="105" t="s">
        <v>163</v>
      </c>
      <c r="E14" s="105" t="s">
        <v>150</v>
      </c>
      <c r="F14" s="105"/>
      <c r="G14" s="106">
        <v>152</v>
      </c>
      <c r="P14" s="26"/>
    </row>
    <row r="15" spans="1:18" ht="15.75" thickBot="1" x14ac:dyDescent="0.3">
      <c r="A15" s="25"/>
      <c r="C15" s="107" t="s">
        <v>165</v>
      </c>
      <c r="D15" s="108" t="s">
        <v>166</v>
      </c>
      <c r="E15" s="108" t="s">
        <v>159</v>
      </c>
      <c r="F15" s="108"/>
      <c r="G15" s="109">
        <v>369</v>
      </c>
      <c r="P15" s="26"/>
    </row>
    <row r="16" spans="1:18" ht="15.75" thickBot="1" x14ac:dyDescent="0.3">
      <c r="A16" s="25"/>
      <c r="P16" s="26"/>
    </row>
    <row r="17" spans="1:17" x14ac:dyDescent="0.25">
      <c r="A17" s="25"/>
      <c r="B17" s="110" t="s">
        <v>167</v>
      </c>
      <c r="C17" s="111"/>
      <c r="D17" s="111"/>
      <c r="E17" s="111"/>
      <c r="F17" s="111"/>
      <c r="G17" s="111"/>
      <c r="H17" s="111"/>
      <c r="I17" s="111"/>
      <c r="J17" s="112"/>
      <c r="K17" s="112"/>
      <c r="L17" s="112"/>
      <c r="M17" s="112"/>
      <c r="N17" s="112"/>
      <c r="O17" s="113"/>
      <c r="P17" s="26"/>
    </row>
    <row r="18" spans="1:17" x14ac:dyDescent="0.25">
      <c r="A18" s="25"/>
      <c r="B18" s="39"/>
      <c r="C18" s="114"/>
      <c r="D18" s="114"/>
      <c r="E18" s="114"/>
      <c r="F18" s="114"/>
      <c r="G18" s="114"/>
      <c r="H18" s="114"/>
      <c r="I18" s="114"/>
      <c r="J18" s="115"/>
      <c r="K18" s="115"/>
      <c r="L18" s="115"/>
      <c r="M18" s="115"/>
      <c r="N18" s="115"/>
      <c r="O18" s="116"/>
      <c r="P18" s="117"/>
      <c r="Q18" s="118"/>
    </row>
    <row r="19" spans="1:17" x14ac:dyDescent="0.25">
      <c r="A19" s="25"/>
      <c r="B19" s="39"/>
      <c r="C19" s="114"/>
      <c r="D19" s="114"/>
      <c r="E19" s="114"/>
      <c r="F19" s="114"/>
      <c r="G19" s="114"/>
      <c r="H19" s="114"/>
      <c r="I19" s="114"/>
      <c r="J19" s="9"/>
      <c r="K19" s="9"/>
      <c r="L19" s="9"/>
      <c r="M19" s="9"/>
      <c r="N19" s="9"/>
      <c r="O19" s="116"/>
      <c r="P19" s="117"/>
      <c r="Q19" s="118"/>
    </row>
    <row r="20" spans="1:17" ht="15.75" thickBot="1" x14ac:dyDescent="0.3">
      <c r="A20" s="25"/>
      <c r="B20" s="39"/>
      <c r="C20" s="114"/>
      <c r="D20" s="114"/>
      <c r="E20" s="114"/>
      <c r="F20" s="114"/>
      <c r="G20" s="114"/>
      <c r="H20" s="114"/>
      <c r="I20" s="114"/>
      <c r="J20" s="9"/>
      <c r="K20" s="9"/>
      <c r="L20" s="9"/>
      <c r="M20" s="9"/>
      <c r="N20" s="9"/>
      <c r="O20" s="116"/>
      <c r="P20" s="117"/>
      <c r="Q20" s="118"/>
    </row>
    <row r="21" spans="1:17" x14ac:dyDescent="0.25">
      <c r="A21" s="25"/>
      <c r="B21" s="39"/>
      <c r="C21" s="114"/>
      <c r="D21" s="114"/>
      <c r="E21" s="114"/>
      <c r="F21" s="114"/>
      <c r="G21" s="114"/>
      <c r="H21" s="114"/>
      <c r="I21" s="114"/>
      <c r="J21" s="89" t="s">
        <v>143</v>
      </c>
      <c r="K21" s="90" t="s">
        <v>144</v>
      </c>
      <c r="L21" s="90" t="s">
        <v>145</v>
      </c>
      <c r="M21" s="90" t="s">
        <v>146</v>
      </c>
      <c r="N21" s="119" t="s">
        <v>147</v>
      </c>
      <c r="O21" s="116"/>
      <c r="P21" s="117"/>
      <c r="Q21" s="118"/>
    </row>
    <row r="22" spans="1:17" x14ac:dyDescent="0.25">
      <c r="A22" s="25"/>
      <c r="B22" s="39"/>
      <c r="C22" s="114"/>
      <c r="D22" s="114"/>
      <c r="E22" s="114"/>
      <c r="F22" s="114"/>
      <c r="G22" s="114"/>
      <c r="H22" s="114"/>
      <c r="I22" s="114"/>
      <c r="J22" s="120" t="s">
        <v>148</v>
      </c>
      <c r="K22" s="121" t="s">
        <v>149</v>
      </c>
      <c r="L22" s="121" t="s">
        <v>150</v>
      </c>
      <c r="M22" s="121"/>
      <c r="N22" s="122">
        <v>81</v>
      </c>
      <c r="O22" s="116"/>
      <c r="P22" s="117"/>
      <c r="Q22" s="118"/>
    </row>
    <row r="23" spans="1:17" x14ac:dyDescent="0.25">
      <c r="A23" s="25"/>
      <c r="B23" s="39"/>
      <c r="C23" s="114"/>
      <c r="D23" s="114"/>
      <c r="E23" s="114"/>
      <c r="F23" s="114"/>
      <c r="G23" s="114"/>
      <c r="H23" s="114"/>
      <c r="I23" s="114"/>
      <c r="J23" s="120" t="s">
        <v>151</v>
      </c>
      <c r="K23" s="121" t="s">
        <v>152</v>
      </c>
      <c r="L23" s="121" t="s">
        <v>150</v>
      </c>
      <c r="M23" s="121"/>
      <c r="N23" s="122">
        <v>121</v>
      </c>
      <c r="O23" s="116"/>
      <c r="P23" s="117"/>
      <c r="Q23" s="118"/>
    </row>
    <row r="24" spans="1:17" x14ac:dyDescent="0.25">
      <c r="A24" s="25"/>
      <c r="B24" s="39"/>
      <c r="C24" s="114"/>
      <c r="D24" s="114"/>
      <c r="E24" s="114"/>
      <c r="F24" s="114"/>
      <c r="G24" s="114"/>
      <c r="H24" s="114"/>
      <c r="I24" s="114"/>
      <c r="J24" s="120" t="s">
        <v>153</v>
      </c>
      <c r="K24" s="121" t="s">
        <v>154</v>
      </c>
      <c r="L24" s="121" t="s">
        <v>155</v>
      </c>
      <c r="M24" s="121"/>
      <c r="N24" s="122">
        <v>239</v>
      </c>
      <c r="O24" s="116"/>
      <c r="P24" s="117"/>
      <c r="Q24" s="118"/>
    </row>
    <row r="25" spans="1:17" x14ac:dyDescent="0.25">
      <c r="A25" s="25"/>
      <c r="B25" s="39"/>
      <c r="C25" s="114"/>
      <c r="D25" s="114"/>
      <c r="E25" s="114"/>
      <c r="F25" s="114"/>
      <c r="G25" s="114"/>
      <c r="H25" s="114"/>
      <c r="I25" s="114"/>
      <c r="J25" s="120" t="s">
        <v>156</v>
      </c>
      <c r="K25" s="121" t="s">
        <v>149</v>
      </c>
      <c r="L25" s="121" t="s">
        <v>150</v>
      </c>
      <c r="M25" s="121"/>
      <c r="N25" s="122">
        <v>500</v>
      </c>
      <c r="O25" s="116"/>
      <c r="P25" s="117"/>
      <c r="Q25" s="118"/>
    </row>
    <row r="26" spans="1:17" x14ac:dyDescent="0.25">
      <c r="A26" s="25"/>
      <c r="B26" s="39"/>
      <c r="C26" s="114"/>
      <c r="D26" s="114"/>
      <c r="E26" s="114"/>
      <c r="F26" s="114"/>
      <c r="G26" s="114"/>
      <c r="H26" s="114"/>
      <c r="I26" s="114"/>
      <c r="J26" s="120" t="s">
        <v>157</v>
      </c>
      <c r="K26" s="121" t="s">
        <v>158</v>
      </c>
      <c r="L26" s="121" t="s">
        <v>159</v>
      </c>
      <c r="M26" s="121"/>
      <c r="N26" s="122">
        <v>423</v>
      </c>
      <c r="O26" s="116"/>
      <c r="P26" s="117"/>
      <c r="Q26" s="118"/>
    </row>
    <row r="27" spans="1:17" x14ac:dyDescent="0.25">
      <c r="A27" s="25"/>
      <c r="B27" s="39"/>
      <c r="C27" s="114"/>
      <c r="D27" s="114"/>
      <c r="E27" s="114"/>
      <c r="F27" s="114"/>
      <c r="G27" s="114"/>
      <c r="H27" s="114"/>
      <c r="I27" s="114"/>
      <c r="J27" s="120" t="s">
        <v>160</v>
      </c>
      <c r="K27" s="121" t="s">
        <v>161</v>
      </c>
      <c r="L27" s="121" t="s">
        <v>150</v>
      </c>
      <c r="M27" s="121"/>
      <c r="N27" s="122">
        <v>160</v>
      </c>
      <c r="O27" s="116"/>
      <c r="P27" s="117"/>
      <c r="Q27" s="118"/>
    </row>
    <row r="28" spans="1:17" x14ac:dyDescent="0.25">
      <c r="A28" s="25"/>
      <c r="B28" s="39"/>
      <c r="C28" s="114"/>
      <c r="D28" s="114"/>
      <c r="E28" s="114"/>
      <c r="F28" s="114"/>
      <c r="G28" s="114"/>
      <c r="H28" s="114"/>
      <c r="I28" s="114"/>
      <c r="J28" s="120" t="s">
        <v>162</v>
      </c>
      <c r="K28" s="121" t="s">
        <v>163</v>
      </c>
      <c r="L28" s="121" t="s">
        <v>150</v>
      </c>
      <c r="M28" s="121"/>
      <c r="N28" s="122">
        <v>348</v>
      </c>
      <c r="O28" s="116"/>
      <c r="P28" s="117"/>
      <c r="Q28" s="118"/>
    </row>
    <row r="29" spans="1:17" x14ac:dyDescent="0.25">
      <c r="A29" s="25"/>
      <c r="B29" s="39"/>
      <c r="C29" s="114"/>
      <c r="D29" s="114"/>
      <c r="E29" s="114"/>
      <c r="F29" s="114"/>
      <c r="G29" s="114"/>
      <c r="H29" s="114"/>
      <c r="I29" s="114"/>
      <c r="J29" s="120" t="s">
        <v>164</v>
      </c>
      <c r="K29" s="121" t="s">
        <v>163</v>
      </c>
      <c r="L29" s="121" t="s">
        <v>150</v>
      </c>
      <c r="M29" s="121"/>
      <c r="N29" s="122">
        <v>152</v>
      </c>
      <c r="O29" s="116"/>
      <c r="P29" s="117"/>
      <c r="Q29" s="118"/>
    </row>
    <row r="30" spans="1:17" ht="15.75" thickBot="1" x14ac:dyDescent="0.3">
      <c r="A30" s="25"/>
      <c r="B30" s="39"/>
      <c r="C30" s="114"/>
      <c r="D30" s="114"/>
      <c r="E30" s="114"/>
      <c r="F30" s="114"/>
      <c r="G30" s="114"/>
      <c r="H30" s="114"/>
      <c r="I30" s="114"/>
      <c r="J30" s="123" t="s">
        <v>165</v>
      </c>
      <c r="K30" s="124" t="s">
        <v>166</v>
      </c>
      <c r="L30" s="124" t="s">
        <v>159</v>
      </c>
      <c r="M30" s="124"/>
      <c r="N30" s="125">
        <v>369</v>
      </c>
      <c r="O30" s="116"/>
      <c r="P30" s="117"/>
      <c r="Q30" s="118"/>
    </row>
    <row r="31" spans="1:17" x14ac:dyDescent="0.25">
      <c r="A31" s="25"/>
      <c r="B31" s="39"/>
      <c r="C31" s="114"/>
      <c r="D31" s="114"/>
      <c r="E31" s="114"/>
      <c r="F31" s="114"/>
      <c r="G31" s="114"/>
      <c r="H31" s="114"/>
      <c r="I31" s="114"/>
      <c r="J31" s="115"/>
      <c r="K31" s="115"/>
      <c r="L31" s="115"/>
      <c r="M31" s="115"/>
      <c r="N31" s="115"/>
      <c r="O31" s="116"/>
      <c r="P31" s="117"/>
      <c r="Q31" s="118"/>
    </row>
    <row r="32" spans="1:17" x14ac:dyDescent="0.25">
      <c r="A32" s="25"/>
      <c r="B32" s="39"/>
      <c r="C32" s="114"/>
      <c r="D32" s="114"/>
      <c r="E32" s="114"/>
      <c r="F32" s="114"/>
      <c r="G32" s="114"/>
      <c r="H32" s="114"/>
      <c r="I32" s="114"/>
      <c r="J32" s="115"/>
      <c r="K32" s="115"/>
      <c r="L32" s="115"/>
      <c r="M32" s="115"/>
      <c r="N32" s="115"/>
      <c r="O32" s="116"/>
      <c r="P32" s="117"/>
      <c r="Q32" s="118"/>
    </row>
    <row r="33" spans="1:17" x14ac:dyDescent="0.25">
      <c r="A33" s="25"/>
      <c r="B33" s="39"/>
      <c r="C33" s="114"/>
      <c r="D33" s="114"/>
      <c r="E33" s="114"/>
      <c r="F33" s="114"/>
      <c r="G33" s="114"/>
      <c r="H33" s="114"/>
      <c r="I33" s="114"/>
      <c r="J33" s="115"/>
      <c r="K33" s="115"/>
      <c r="L33" s="115"/>
      <c r="M33" s="115"/>
      <c r="N33" s="115"/>
      <c r="O33" s="116"/>
      <c r="P33" s="117"/>
      <c r="Q33" s="118"/>
    </row>
    <row r="34" spans="1:17" ht="15.75" thickBot="1" x14ac:dyDescent="0.3">
      <c r="A34" s="25"/>
      <c r="B34" s="126"/>
      <c r="C34" s="127"/>
      <c r="D34" s="127"/>
      <c r="E34" s="127"/>
      <c r="F34" s="127"/>
      <c r="G34" s="127"/>
      <c r="H34" s="127"/>
      <c r="I34" s="127"/>
      <c r="J34" s="128"/>
      <c r="K34" s="128"/>
      <c r="L34" s="128"/>
      <c r="M34" s="128"/>
      <c r="N34" s="128"/>
      <c r="O34" s="129"/>
      <c r="P34" s="117"/>
      <c r="Q34" s="118"/>
    </row>
    <row r="35" spans="1:17" ht="15.75" thickBot="1" x14ac:dyDescent="0.3">
      <c r="A35" s="61"/>
      <c r="B35" s="130"/>
      <c r="C35" s="130"/>
      <c r="D35" s="130"/>
      <c r="E35" s="130"/>
      <c r="F35" s="130"/>
      <c r="G35" s="130"/>
      <c r="H35" s="130"/>
      <c r="I35" s="130"/>
      <c r="J35" s="131"/>
      <c r="K35" s="131"/>
      <c r="L35" s="131"/>
      <c r="M35" s="131"/>
      <c r="N35" s="131"/>
      <c r="O35" s="131"/>
      <c r="P35" s="132"/>
      <c r="Q35" s="118"/>
    </row>
    <row r="36" spans="1:17" x14ac:dyDescent="0.25">
      <c r="B36" s="133"/>
      <c r="C36" s="133"/>
      <c r="D36" s="133"/>
      <c r="E36" s="133"/>
      <c r="F36" s="133"/>
      <c r="G36" s="133"/>
      <c r="H36" s="133"/>
      <c r="I36" s="133"/>
      <c r="J36" s="118"/>
      <c r="K36" s="118"/>
      <c r="L36" s="118"/>
      <c r="M36" s="118"/>
      <c r="N36" s="118"/>
      <c r="O36" s="118"/>
      <c r="P36" s="118"/>
      <c r="Q36" s="118"/>
    </row>
    <row r="37" spans="1:17" x14ac:dyDescent="0.25"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</row>
    <row r="38" spans="1:17" x14ac:dyDescent="0.25"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</row>
    <row r="39" spans="1:17" x14ac:dyDescent="0.25"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</row>
    <row r="40" spans="1:17" x14ac:dyDescent="0.25"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</row>
    <row r="41" spans="1:17" x14ac:dyDescent="0.25"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</row>
    <row r="42" spans="1:17" x14ac:dyDescent="0.25"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</row>
    <row r="43" spans="1:17" x14ac:dyDescent="0.25"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</row>
    <row r="44" spans="1:17" x14ac:dyDescent="0.25"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</row>
    <row r="45" spans="1:17" x14ac:dyDescent="0.25"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</row>
  </sheetData>
  <mergeCells count="5">
    <mergeCell ref="A1:P1"/>
    <mergeCell ref="A2:P2"/>
    <mergeCell ref="A3:P3"/>
    <mergeCell ref="A4:P4"/>
    <mergeCell ref="B17:I34"/>
  </mergeCells>
  <dataValidations count="1">
    <dataValidation type="whole" allowBlank="1" showInputMessage="1" showErrorMessage="1" errorTitle="Invalid input!" error="The quantity must be a whole number between 1 and 10." prompt="Please enter a whole number betweenn 1 and 10." sqref="M22:M30" xr:uid="{E823319A-C04F-498C-96DC-482AE3F1B8E9}">
      <formula1>1</formula1>
      <formula2>10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39FA-30A7-4781-95E7-5ADBFDF0A094}">
  <dimension ref="A1:I22"/>
  <sheetViews>
    <sheetView workbookViewId="0">
      <selection activeCell="N7" sqref="N7"/>
    </sheetView>
  </sheetViews>
  <sheetFormatPr defaultRowHeight="15" x14ac:dyDescent="0.25"/>
  <cols>
    <col min="2" max="2" width="21.42578125" customWidth="1"/>
  </cols>
  <sheetData>
    <row r="1" spans="1:9" x14ac:dyDescent="0.25">
      <c r="A1" s="5" t="s">
        <v>82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22"/>
      <c r="B2" s="22"/>
      <c r="C2" s="22"/>
      <c r="D2" s="22"/>
      <c r="E2" s="22"/>
      <c r="F2" s="22"/>
      <c r="G2" s="22"/>
      <c r="H2" s="22"/>
      <c r="I2" s="22"/>
    </row>
    <row r="3" spans="1:9" x14ac:dyDescent="0.25">
      <c r="A3" s="22" t="s">
        <v>83</v>
      </c>
      <c r="B3" s="22"/>
      <c r="C3" s="22"/>
      <c r="D3" s="22"/>
      <c r="E3" s="22"/>
      <c r="F3" s="22"/>
      <c r="G3" s="22"/>
      <c r="H3" s="22"/>
      <c r="I3" s="22"/>
    </row>
    <row r="4" spans="1:9" x14ac:dyDescent="0.25">
      <c r="A4" s="23" t="s">
        <v>84</v>
      </c>
      <c r="B4" s="22"/>
      <c r="C4" s="22"/>
      <c r="D4" s="22"/>
      <c r="E4" s="22"/>
      <c r="F4" s="22"/>
      <c r="G4" s="22"/>
      <c r="H4" s="22"/>
      <c r="I4" s="22"/>
    </row>
    <row r="5" spans="1:9" x14ac:dyDescent="0.25">
      <c r="A5" s="22"/>
      <c r="B5" s="15" t="s">
        <v>85</v>
      </c>
      <c r="C5" s="15" t="str">
        <f>LEFT(B5,5)</f>
        <v>Excel</v>
      </c>
      <c r="D5" s="22"/>
      <c r="E5" s="22"/>
      <c r="F5" s="22"/>
      <c r="G5" s="22"/>
      <c r="H5" s="22"/>
      <c r="I5" s="22"/>
    </row>
    <row r="6" spans="1:9" x14ac:dyDescent="0.25">
      <c r="A6" s="22"/>
      <c r="B6" s="22"/>
      <c r="C6" s="22"/>
      <c r="D6" s="22"/>
      <c r="E6" s="22"/>
      <c r="F6" s="22"/>
      <c r="G6" s="22"/>
      <c r="H6" s="22"/>
      <c r="I6" s="22"/>
    </row>
    <row r="7" spans="1:9" x14ac:dyDescent="0.25">
      <c r="A7" s="23" t="s">
        <v>86</v>
      </c>
      <c r="B7" s="22"/>
      <c r="C7" s="22"/>
      <c r="D7" s="22"/>
      <c r="E7" s="22"/>
      <c r="F7" s="22"/>
      <c r="G7" s="22"/>
      <c r="H7" s="22"/>
      <c r="I7" s="22"/>
    </row>
    <row r="8" spans="1:9" x14ac:dyDescent="0.25">
      <c r="A8" s="23" t="s">
        <v>3</v>
      </c>
      <c r="B8" s="22"/>
      <c r="C8" s="22"/>
      <c r="D8" s="22"/>
      <c r="E8" s="22"/>
      <c r="F8" s="22"/>
      <c r="G8" s="22"/>
      <c r="H8" s="22"/>
      <c r="I8" s="22"/>
    </row>
    <row r="9" spans="1:9" x14ac:dyDescent="0.25">
      <c r="A9" s="22"/>
      <c r="B9" s="24" t="s">
        <v>87</v>
      </c>
      <c r="C9" s="24" t="str">
        <f>RIGHT(B9,4)</f>
        <v>xlsx</v>
      </c>
      <c r="D9" s="22"/>
      <c r="E9" s="22"/>
      <c r="F9" s="22"/>
      <c r="G9" s="22"/>
      <c r="H9" s="22"/>
      <c r="I9" s="22"/>
    </row>
    <row r="10" spans="1:9" x14ac:dyDescent="0.25">
      <c r="A10" s="22"/>
      <c r="B10" s="22"/>
      <c r="C10" s="22"/>
      <c r="D10" s="22"/>
      <c r="E10" s="22"/>
      <c r="F10" s="22"/>
      <c r="G10" s="22"/>
      <c r="H10" s="22"/>
      <c r="I10" s="22"/>
    </row>
    <row r="11" spans="1:9" x14ac:dyDescent="0.25">
      <c r="A11" s="23" t="s">
        <v>88</v>
      </c>
      <c r="B11" s="22"/>
      <c r="C11" s="22"/>
      <c r="D11" s="22"/>
      <c r="E11" s="22"/>
      <c r="F11" s="22"/>
      <c r="G11" s="22"/>
      <c r="H11" s="22"/>
      <c r="I11" s="22"/>
    </row>
    <row r="12" spans="1:9" x14ac:dyDescent="0.25">
      <c r="A12" s="23" t="s">
        <v>89</v>
      </c>
      <c r="B12" s="22"/>
      <c r="C12" s="22"/>
      <c r="D12" s="22"/>
      <c r="E12" s="22"/>
      <c r="F12" s="22"/>
      <c r="G12" s="22"/>
      <c r="H12" s="22"/>
      <c r="I12" s="22"/>
    </row>
    <row r="13" spans="1:9" x14ac:dyDescent="0.25">
      <c r="A13" s="22"/>
      <c r="B13" s="24" t="s">
        <v>85</v>
      </c>
      <c r="C13" s="24" t="str">
        <f>MID(B13,6,4)</f>
        <v>Tips</v>
      </c>
      <c r="D13" s="22"/>
      <c r="E13" s="22"/>
      <c r="F13" s="22"/>
      <c r="G13" s="22"/>
      <c r="H13" s="22"/>
      <c r="I13" s="22"/>
    </row>
    <row r="14" spans="1:9" x14ac:dyDescent="0.25">
      <c r="A14" s="22"/>
      <c r="B14" s="22"/>
      <c r="C14" s="22"/>
      <c r="D14" s="22"/>
      <c r="E14" s="22"/>
      <c r="F14" s="22"/>
      <c r="G14" s="22"/>
      <c r="H14" s="22"/>
      <c r="I14" s="22"/>
    </row>
    <row r="15" spans="1:9" x14ac:dyDescent="0.25">
      <c r="A15" s="23" t="s">
        <v>90</v>
      </c>
      <c r="B15" s="22"/>
      <c r="C15" s="22"/>
      <c r="D15" s="22"/>
      <c r="E15" s="22"/>
      <c r="F15" s="22"/>
      <c r="G15" s="22"/>
      <c r="H15" s="22"/>
      <c r="I15" s="22"/>
    </row>
    <row r="16" spans="1:9" x14ac:dyDescent="0.25">
      <c r="A16" s="23" t="s">
        <v>3</v>
      </c>
      <c r="B16" s="22"/>
      <c r="C16" s="22"/>
      <c r="D16" s="22"/>
      <c r="E16" s="22"/>
      <c r="F16" s="22"/>
      <c r="G16" s="22"/>
      <c r="H16" s="22"/>
      <c r="I16" s="22"/>
    </row>
    <row r="17" spans="1:9" x14ac:dyDescent="0.25">
      <c r="A17" s="22"/>
      <c r="B17" s="24" t="s">
        <v>91</v>
      </c>
      <c r="C17" s="24">
        <f>LEN(B17)</f>
        <v>12</v>
      </c>
      <c r="D17" s="22"/>
      <c r="E17" s="22"/>
      <c r="F17" s="22"/>
      <c r="G17" s="22"/>
      <c r="H17" s="22"/>
      <c r="I17" s="22"/>
    </row>
    <row r="18" spans="1:9" x14ac:dyDescent="0.25">
      <c r="A18" s="22"/>
      <c r="B18" s="22"/>
      <c r="C18" s="22"/>
      <c r="D18" s="22"/>
      <c r="E18" s="22"/>
      <c r="F18" s="22"/>
      <c r="G18" s="22"/>
      <c r="H18" s="22"/>
      <c r="I18" s="22"/>
    </row>
    <row r="19" spans="1:9" x14ac:dyDescent="0.25">
      <c r="A19" s="23" t="s">
        <v>92</v>
      </c>
      <c r="B19" s="22"/>
      <c r="C19" s="22"/>
      <c r="D19" s="22"/>
      <c r="E19" s="22"/>
      <c r="F19" s="22"/>
      <c r="G19" s="22"/>
      <c r="H19" s="22"/>
      <c r="I19" s="22"/>
    </row>
    <row r="20" spans="1:9" x14ac:dyDescent="0.25">
      <c r="A20" s="23" t="s">
        <v>89</v>
      </c>
      <c r="B20" s="22"/>
      <c r="C20" s="22"/>
      <c r="D20" s="22"/>
      <c r="E20" s="22"/>
      <c r="F20" s="22"/>
      <c r="G20" s="22"/>
      <c r="H20" s="22"/>
      <c r="I20" s="22"/>
    </row>
    <row r="21" spans="1:9" x14ac:dyDescent="0.25">
      <c r="A21" s="22"/>
      <c r="B21" s="24" t="s">
        <v>93</v>
      </c>
      <c r="C21" s="24" t="str">
        <f>MID(B21,7,6)</f>
        <v>67890-</v>
      </c>
      <c r="D21" s="22"/>
      <c r="E21" s="22"/>
      <c r="F21" s="22"/>
      <c r="G21" s="22"/>
      <c r="H21" s="22"/>
      <c r="I21" s="22"/>
    </row>
    <row r="22" spans="1:9" x14ac:dyDescent="0.25">
      <c r="A22" s="22"/>
      <c r="B22" s="22"/>
      <c r="C22" s="22"/>
      <c r="D22" s="22"/>
      <c r="E22" s="22"/>
      <c r="F22" s="22"/>
      <c r="G22" s="22"/>
      <c r="H22" s="22"/>
      <c r="I22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D9E2-4143-4899-8B89-8BBDE157D996}">
  <dimension ref="A1:L35"/>
  <sheetViews>
    <sheetView workbookViewId="0">
      <selection activeCell="E10" sqref="E10"/>
    </sheetView>
  </sheetViews>
  <sheetFormatPr defaultRowHeight="15" x14ac:dyDescent="0.25"/>
  <cols>
    <col min="4" max="4" width="15.28515625" customWidth="1"/>
  </cols>
  <sheetData>
    <row r="1" spans="1:12" x14ac:dyDescent="0.25">
      <c r="A1" s="99" t="s">
        <v>118</v>
      </c>
      <c r="B1" s="65"/>
      <c r="C1" s="65"/>
      <c r="D1" s="65"/>
      <c r="E1" s="65"/>
      <c r="F1" s="65"/>
      <c r="G1" s="65"/>
      <c r="H1" s="65"/>
      <c r="I1" s="65"/>
      <c r="J1" s="65"/>
      <c r="K1" s="66"/>
      <c r="L1" s="98"/>
    </row>
    <row r="2" spans="1:12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9"/>
    </row>
    <row r="3" spans="1:12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9"/>
    </row>
    <row r="4" spans="1:12" x14ac:dyDescent="0.25">
      <c r="A4" s="67"/>
      <c r="B4" s="68"/>
      <c r="C4" s="68"/>
      <c r="D4" s="68"/>
      <c r="E4" s="68"/>
      <c r="F4" s="68"/>
      <c r="G4" s="68"/>
      <c r="H4" s="68"/>
      <c r="I4" s="68"/>
      <c r="J4" s="68"/>
      <c r="K4" s="69"/>
    </row>
    <row r="5" spans="1:12" x14ac:dyDescent="0.25">
      <c r="A5" s="67"/>
      <c r="B5" s="68"/>
      <c r="C5" s="68"/>
      <c r="D5" s="68"/>
      <c r="E5" s="68"/>
      <c r="F5" s="68"/>
      <c r="G5" s="68"/>
      <c r="H5" s="68"/>
      <c r="I5" s="68"/>
      <c r="J5" s="68"/>
      <c r="K5" s="69"/>
    </row>
    <row r="6" spans="1:12" ht="15.75" thickBot="1" x14ac:dyDescent="0.3">
      <c r="A6" s="70"/>
      <c r="B6" s="71"/>
      <c r="C6" s="71"/>
      <c r="D6" s="71"/>
      <c r="E6" s="71"/>
      <c r="F6" s="71"/>
      <c r="G6" s="71"/>
      <c r="H6" s="71"/>
      <c r="I6" s="71"/>
      <c r="J6" s="71"/>
      <c r="K6" s="72"/>
    </row>
    <row r="7" spans="1:12" ht="15.75" thickBot="1" x14ac:dyDescent="0.3">
      <c r="A7" s="73" t="s">
        <v>102</v>
      </c>
      <c r="K7" s="26"/>
    </row>
    <row r="8" spans="1:12" ht="15.75" thickBot="1" x14ac:dyDescent="0.3">
      <c r="A8" s="74" t="s">
        <v>119</v>
      </c>
      <c r="B8" s="75"/>
      <c r="C8" s="75"/>
      <c r="D8" s="75"/>
      <c r="E8" s="75"/>
      <c r="F8" s="75"/>
      <c r="G8" s="75"/>
      <c r="H8" s="75"/>
      <c r="I8" s="75"/>
      <c r="J8" s="75"/>
      <c r="K8" s="76"/>
    </row>
    <row r="9" spans="1:12" ht="15.75" thickBot="1" x14ac:dyDescent="0.3">
      <c r="A9" s="25"/>
      <c r="K9" s="26"/>
    </row>
    <row r="10" spans="1:12" ht="15.75" thickBot="1" x14ac:dyDescent="0.3">
      <c r="A10" s="25"/>
      <c r="B10" s="77" t="s">
        <v>94</v>
      </c>
      <c r="C10" s="78" t="s">
        <v>95</v>
      </c>
      <c r="E10" s="79" t="str">
        <f>_xlfn.CONCAT(B10," ",C10)</f>
        <v>Hello World</v>
      </c>
      <c r="K10" s="26"/>
    </row>
    <row r="11" spans="1:12" ht="15.75" thickBot="1" x14ac:dyDescent="0.3">
      <c r="A11" s="25"/>
      <c r="K11" s="26"/>
    </row>
    <row r="12" spans="1:12" ht="15.75" thickBot="1" x14ac:dyDescent="0.3">
      <c r="A12" s="74" t="s">
        <v>120</v>
      </c>
      <c r="B12" s="75"/>
      <c r="C12" s="75"/>
      <c r="D12" s="75"/>
      <c r="E12" s="75"/>
      <c r="F12" s="75"/>
      <c r="G12" s="75"/>
      <c r="H12" s="75"/>
      <c r="I12" s="75"/>
      <c r="J12" s="75"/>
      <c r="K12" s="76"/>
    </row>
    <row r="13" spans="1:12" ht="15.75" thickBot="1" x14ac:dyDescent="0.3">
      <c r="A13" s="25"/>
      <c r="K13" s="26"/>
    </row>
    <row r="14" spans="1:12" ht="15.75" thickBot="1" x14ac:dyDescent="0.3">
      <c r="A14" s="25"/>
      <c r="B14" s="80" t="s">
        <v>121</v>
      </c>
      <c r="C14" s="80" t="s">
        <v>122</v>
      </c>
      <c r="D14" s="80" t="s">
        <v>123</v>
      </c>
      <c r="F14" s="81" t="str">
        <f>_xlfn.TEXTJOIN(",",TRUE,B14:D14)</f>
        <v>Apple,Banana,Cherry</v>
      </c>
      <c r="K14" s="26"/>
    </row>
    <row r="15" spans="1:12" ht="15.75" thickBot="1" x14ac:dyDescent="0.3">
      <c r="A15" s="25"/>
      <c r="K15" s="26"/>
    </row>
    <row r="16" spans="1:12" ht="15.75" thickBot="1" x14ac:dyDescent="0.3">
      <c r="A16" s="82" t="s">
        <v>124</v>
      </c>
      <c r="B16" s="83"/>
      <c r="C16" s="83"/>
      <c r="D16" s="83"/>
      <c r="E16" s="83"/>
      <c r="F16" s="83"/>
      <c r="G16" s="83"/>
      <c r="H16" s="83"/>
      <c r="I16" s="83"/>
      <c r="J16" s="83"/>
      <c r="K16" s="84"/>
    </row>
    <row r="17" spans="1:11" ht="15.75" thickBot="1" x14ac:dyDescent="0.3">
      <c r="A17" s="25"/>
      <c r="K17" s="26"/>
    </row>
    <row r="18" spans="1:11" ht="15.75" thickBot="1" x14ac:dyDescent="0.3">
      <c r="A18" s="25"/>
      <c r="B18" s="77">
        <v>2025</v>
      </c>
      <c r="C18" s="78" t="s">
        <v>125</v>
      </c>
      <c r="E18" s="79" t="str">
        <f>B18&amp;":"&amp;C18</f>
        <v>2025:Excel Functions</v>
      </c>
      <c r="K18" s="26"/>
    </row>
    <row r="19" spans="1:11" ht="15.75" thickBot="1" x14ac:dyDescent="0.3">
      <c r="A19" s="25"/>
      <c r="K19" s="26"/>
    </row>
    <row r="20" spans="1:11" ht="15.75" thickBot="1" x14ac:dyDescent="0.3">
      <c r="A20" s="85" t="s">
        <v>126</v>
      </c>
      <c r="B20" s="75"/>
      <c r="C20" s="75"/>
      <c r="D20" s="75"/>
      <c r="E20" s="75"/>
      <c r="F20" s="75"/>
      <c r="G20" s="75"/>
      <c r="H20" s="75"/>
      <c r="I20" s="75"/>
      <c r="J20" s="75"/>
      <c r="K20" s="76"/>
    </row>
    <row r="21" spans="1:11" ht="15.75" thickBot="1" x14ac:dyDescent="0.3">
      <c r="A21" s="25"/>
      <c r="K21" s="26"/>
    </row>
    <row r="22" spans="1:11" x14ac:dyDescent="0.25">
      <c r="A22" s="25"/>
      <c r="C22" s="86" t="s">
        <v>121</v>
      </c>
      <c r="K22" s="26"/>
    </row>
    <row r="23" spans="1:11" ht="15.75" thickBot="1" x14ac:dyDescent="0.3">
      <c r="A23" s="25"/>
      <c r="C23" s="87" t="s">
        <v>122</v>
      </c>
      <c r="K23" s="26"/>
    </row>
    <row r="24" spans="1:11" ht="15.75" thickBot="1" x14ac:dyDescent="0.3">
      <c r="A24" s="25"/>
      <c r="C24" s="87" t="s">
        <v>123</v>
      </c>
      <c r="E24" s="81" t="str">
        <f>_xlfn.TEXTJOIN(",",TRUE,C22:C26)</f>
        <v>Apple,Banana,Cherry,Papaya,Orange</v>
      </c>
      <c r="K24" s="26"/>
    </row>
    <row r="25" spans="1:11" x14ac:dyDescent="0.25">
      <c r="A25" s="25"/>
      <c r="C25" s="87" t="s">
        <v>127</v>
      </c>
      <c r="K25" s="26"/>
    </row>
    <row r="26" spans="1:11" ht="15.75" thickBot="1" x14ac:dyDescent="0.3">
      <c r="A26" s="25"/>
      <c r="C26" s="88" t="s">
        <v>128</v>
      </c>
      <c r="K26" s="26"/>
    </row>
    <row r="27" spans="1:11" ht="15.75" thickBot="1" x14ac:dyDescent="0.3">
      <c r="A27" s="25"/>
      <c r="K27" s="26"/>
    </row>
    <row r="28" spans="1:11" ht="15.75" thickBot="1" x14ac:dyDescent="0.3">
      <c r="A28" s="74" t="s">
        <v>129</v>
      </c>
      <c r="B28" s="75"/>
      <c r="C28" s="75"/>
      <c r="D28" s="75"/>
      <c r="E28" s="75"/>
      <c r="F28" s="75"/>
      <c r="G28" s="75"/>
      <c r="H28" s="75"/>
      <c r="I28" s="75"/>
      <c r="J28" s="75"/>
      <c r="K28" s="76"/>
    </row>
    <row r="29" spans="1:11" ht="15.75" thickBot="1" x14ac:dyDescent="0.3">
      <c r="A29" s="25"/>
      <c r="K29" s="26"/>
    </row>
    <row r="30" spans="1:11" x14ac:dyDescent="0.25">
      <c r="A30" s="25"/>
      <c r="C30" s="89" t="s">
        <v>130</v>
      </c>
      <c r="D30" s="90" t="s">
        <v>131</v>
      </c>
      <c r="E30" s="91" t="s">
        <v>132</v>
      </c>
      <c r="K30" s="26"/>
    </row>
    <row r="31" spans="1:11" x14ac:dyDescent="0.25">
      <c r="A31" s="25"/>
      <c r="C31" s="92" t="s">
        <v>133</v>
      </c>
      <c r="D31" s="93" t="s">
        <v>134</v>
      </c>
      <c r="E31" s="94" t="str">
        <f>_xlfn.CONCAT(C31," ",D31)</f>
        <v>Sakshi Rajput</v>
      </c>
      <c r="K31" s="26"/>
    </row>
    <row r="32" spans="1:11" x14ac:dyDescent="0.25">
      <c r="A32" s="25"/>
      <c r="C32" s="92" t="s">
        <v>135</v>
      </c>
      <c r="D32" s="93" t="s">
        <v>136</v>
      </c>
      <c r="E32" s="94" t="str">
        <f t="shared" ref="E32:E34" si="0">_xlfn.CONCAT(C32," ",D32)</f>
        <v>Aditya Jaiswal</v>
      </c>
      <c r="K32" s="26"/>
    </row>
    <row r="33" spans="1:11" x14ac:dyDescent="0.25">
      <c r="A33" s="25"/>
      <c r="C33" s="92" t="s">
        <v>137</v>
      </c>
      <c r="D33" s="93" t="s">
        <v>136</v>
      </c>
      <c r="E33" s="94" t="str">
        <f t="shared" si="0"/>
        <v>Ishita Jaiswal</v>
      </c>
      <c r="K33" s="26"/>
    </row>
    <row r="34" spans="1:11" ht="15.75" thickBot="1" x14ac:dyDescent="0.3">
      <c r="A34" s="25"/>
      <c r="C34" s="95" t="s">
        <v>138</v>
      </c>
      <c r="D34" s="96" t="s">
        <v>70</v>
      </c>
      <c r="E34" s="97" t="str">
        <f t="shared" si="0"/>
        <v>Shrey Mishra</v>
      </c>
      <c r="K34" s="26"/>
    </row>
    <row r="35" spans="1:11" ht="15.75" thickBot="1" x14ac:dyDescent="0.3">
      <c r="A35" s="61"/>
      <c r="B35" s="62"/>
      <c r="C35" s="62"/>
      <c r="D35" s="62"/>
      <c r="E35" s="62"/>
      <c r="F35" s="62"/>
      <c r="G35" s="62"/>
      <c r="H35" s="62"/>
      <c r="I35" s="62"/>
      <c r="J35" s="62"/>
      <c r="K35" s="63"/>
    </row>
  </sheetData>
  <mergeCells count="6">
    <mergeCell ref="A1:K6"/>
    <mergeCell ref="A8:K8"/>
    <mergeCell ref="A12:K12"/>
    <mergeCell ref="A16:K16"/>
    <mergeCell ref="A20:K20"/>
    <mergeCell ref="A28:K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0FFE-2955-4313-AB43-A4EE83F47456}">
  <dimension ref="A1:R36"/>
  <sheetViews>
    <sheetView topLeftCell="A9" workbookViewId="0">
      <selection activeCell="E25" sqref="E25"/>
    </sheetView>
  </sheetViews>
  <sheetFormatPr defaultRowHeight="15" x14ac:dyDescent="0.25"/>
  <cols>
    <col min="3" max="3" width="14.5703125" customWidth="1"/>
    <col min="4" max="4" width="8.7109375" customWidth="1"/>
    <col min="5" max="5" width="18.7109375" customWidth="1"/>
    <col min="6" max="6" width="11.7109375" customWidth="1"/>
    <col min="8" max="8" width="8.7109375" customWidth="1"/>
  </cols>
  <sheetData>
    <row r="1" spans="1:18" x14ac:dyDescent="0.25">
      <c r="A1" s="25"/>
      <c r="B1" s="64" t="s">
        <v>96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6"/>
      <c r="R1" s="26"/>
    </row>
    <row r="2" spans="1:18" x14ac:dyDescent="0.25">
      <c r="A2" s="25"/>
      <c r="B2" s="67" t="s">
        <v>97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9"/>
      <c r="R2" s="26"/>
    </row>
    <row r="3" spans="1:18" x14ac:dyDescent="0.25">
      <c r="A3" s="25"/>
      <c r="B3" s="67" t="s">
        <v>98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9"/>
      <c r="R3" s="26"/>
    </row>
    <row r="4" spans="1:18" x14ac:dyDescent="0.25">
      <c r="A4" s="25"/>
      <c r="B4" s="67" t="s">
        <v>99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9"/>
      <c r="R4" s="26"/>
    </row>
    <row r="5" spans="1:18" x14ac:dyDescent="0.25">
      <c r="A5" s="25"/>
      <c r="B5" s="67" t="s">
        <v>100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9"/>
      <c r="R5" s="26"/>
    </row>
    <row r="6" spans="1:18" ht="15.75" thickBot="1" x14ac:dyDescent="0.3">
      <c r="A6" s="25"/>
      <c r="B6" s="70" t="s">
        <v>101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2"/>
      <c r="R6" s="26"/>
    </row>
    <row r="7" spans="1:18" ht="15.75" thickBot="1" x14ac:dyDescent="0.3">
      <c r="A7" s="25"/>
      <c r="B7" s="27" t="s">
        <v>102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9"/>
      <c r="R7" s="26"/>
    </row>
    <row r="8" spans="1:18" x14ac:dyDescent="0.25">
      <c r="A8" s="25"/>
      <c r="B8" s="30" t="s">
        <v>97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2"/>
      <c r="R8" s="26"/>
    </row>
    <row r="9" spans="1:18" x14ac:dyDescent="0.25">
      <c r="A9" s="25"/>
      <c r="B9" s="33" t="s">
        <v>103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5"/>
      <c r="R9" s="26"/>
    </row>
    <row r="10" spans="1:18" x14ac:dyDescent="0.25">
      <c r="A10" s="25"/>
      <c r="B10" s="36" t="s">
        <v>104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8"/>
      <c r="R10" s="26"/>
    </row>
    <row r="11" spans="1:18" x14ac:dyDescent="0.25">
      <c r="A11" s="25"/>
      <c r="B11" s="39" t="s">
        <v>105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1"/>
      <c r="R11" s="26"/>
    </row>
    <row r="12" spans="1:18" x14ac:dyDescent="0.25">
      <c r="A12" s="25"/>
      <c r="B12" s="36" t="s">
        <v>106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8"/>
      <c r="R12" s="26"/>
    </row>
    <row r="13" spans="1:18" x14ac:dyDescent="0.25">
      <c r="A13" s="25"/>
      <c r="B13" s="36" t="s">
        <v>107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8"/>
      <c r="R13" s="26"/>
    </row>
    <row r="14" spans="1:18" x14ac:dyDescent="0.25">
      <c r="A14" s="25"/>
      <c r="B14" s="42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43"/>
      <c r="R14" s="26"/>
    </row>
    <row r="15" spans="1:18" x14ac:dyDescent="0.25">
      <c r="A15" s="25"/>
      <c r="B15" s="44" t="s">
        <v>108</v>
      </c>
      <c r="C15" s="45"/>
      <c r="D15" s="9"/>
      <c r="E15" s="45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43"/>
      <c r="R15" s="26"/>
    </row>
    <row r="16" spans="1:18" x14ac:dyDescent="0.25">
      <c r="A16" s="25"/>
      <c r="B16" s="36" t="s">
        <v>109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8"/>
      <c r="R16" s="26"/>
    </row>
    <row r="17" spans="1:18" x14ac:dyDescent="0.25">
      <c r="A17" s="25"/>
      <c r="B17" s="36" t="s">
        <v>110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8"/>
      <c r="R17" s="26"/>
    </row>
    <row r="18" spans="1:18" x14ac:dyDescent="0.25">
      <c r="A18" s="25"/>
      <c r="B18" s="36" t="s">
        <v>111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8"/>
      <c r="R18" s="26"/>
    </row>
    <row r="19" spans="1:18" x14ac:dyDescent="0.25">
      <c r="A19" s="25"/>
      <c r="B19" s="36" t="s">
        <v>112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8"/>
      <c r="R19" s="26"/>
    </row>
    <row r="20" spans="1:18" x14ac:dyDescent="0.25">
      <c r="A20" s="25"/>
      <c r="B20" s="4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43"/>
      <c r="R20" s="26"/>
    </row>
    <row r="21" spans="1:18" x14ac:dyDescent="0.25">
      <c r="A21" s="25"/>
      <c r="B21" s="46" t="s">
        <v>113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/>
      <c r="R21" s="26"/>
    </row>
    <row r="22" spans="1:18" ht="15.75" thickBot="1" x14ac:dyDescent="0.3">
      <c r="A22" s="25"/>
      <c r="B22" s="49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1"/>
      <c r="R22" s="26"/>
    </row>
    <row r="23" spans="1:18" x14ac:dyDescent="0.25">
      <c r="A23" s="25"/>
      <c r="B23" s="30" t="s">
        <v>114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2"/>
      <c r="R23" s="26"/>
    </row>
    <row r="24" spans="1:18" ht="15.75" thickBot="1" x14ac:dyDescent="0.3">
      <c r="A24" s="25"/>
      <c r="B24" s="4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43"/>
      <c r="R24" s="26"/>
    </row>
    <row r="25" spans="1:18" ht="15.75" thickBot="1" x14ac:dyDescent="0.3">
      <c r="A25" s="25"/>
      <c r="B25" s="42"/>
      <c r="C25" s="52">
        <v>45818</v>
      </c>
      <c r="D25" s="9"/>
      <c r="E25" s="53">
        <f ca="1">C25-TODAY()</f>
        <v>-207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43"/>
      <c r="R25" s="26"/>
    </row>
    <row r="26" spans="1:18" ht="15.75" thickBot="1" x14ac:dyDescent="0.3">
      <c r="A26" s="25"/>
      <c r="B26" s="49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1"/>
      <c r="R26" s="26"/>
    </row>
    <row r="27" spans="1:18" x14ac:dyDescent="0.25">
      <c r="A27" s="25"/>
      <c r="B27" s="36" t="s">
        <v>99</v>
      </c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8"/>
      <c r="R27" s="26"/>
    </row>
    <row r="28" spans="1:18" ht="15.75" thickBot="1" x14ac:dyDescent="0.3">
      <c r="A28" s="25"/>
      <c r="B28" s="4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43"/>
      <c r="R28" s="26"/>
    </row>
    <row r="29" spans="1:18" ht="15.75" thickBot="1" x14ac:dyDescent="0.3">
      <c r="A29" s="25"/>
      <c r="B29" s="42"/>
      <c r="C29" s="9"/>
      <c r="D29" s="9"/>
      <c r="E29" s="54" t="str">
        <f ca="1">TEXT(NOW(),"mm/dd/yyyy hh:mm am/pm")</f>
        <v>01/03/2026 01:53 PM</v>
      </c>
      <c r="F29" s="45"/>
      <c r="G29" s="9"/>
      <c r="H29" s="45"/>
      <c r="I29" s="9"/>
      <c r="J29" s="9"/>
      <c r="K29" s="9"/>
      <c r="L29" s="9"/>
      <c r="M29" s="9"/>
      <c r="N29" s="9"/>
      <c r="O29" s="9"/>
      <c r="P29" s="9"/>
      <c r="Q29" s="43"/>
      <c r="R29" s="26"/>
    </row>
    <row r="30" spans="1:18" ht="15.75" thickBot="1" x14ac:dyDescent="0.3">
      <c r="A30" s="25"/>
      <c r="B30" s="49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1"/>
      <c r="R30" s="26"/>
    </row>
    <row r="31" spans="1:18" x14ac:dyDescent="0.25">
      <c r="A31" s="25"/>
      <c r="B31" s="30" t="s">
        <v>115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2"/>
      <c r="R31" s="26"/>
    </row>
    <row r="32" spans="1:18" x14ac:dyDescent="0.25">
      <c r="A32" s="25"/>
      <c r="B32" s="55" t="s">
        <v>116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7"/>
      <c r="R32" s="26"/>
    </row>
    <row r="33" spans="1:18" ht="15.75" thickBot="1" x14ac:dyDescent="0.3">
      <c r="A33" s="25"/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1"/>
      <c r="R33" s="26"/>
    </row>
    <row r="34" spans="1:18" x14ac:dyDescent="0.25">
      <c r="A34" s="25"/>
      <c r="B34" s="36" t="s">
        <v>101</v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8"/>
      <c r="R34" s="26"/>
    </row>
    <row r="35" spans="1:18" ht="15.75" thickBot="1" x14ac:dyDescent="0.3">
      <c r="A35" s="25"/>
      <c r="B35" s="58" t="s">
        <v>117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60"/>
      <c r="R35" s="26"/>
    </row>
    <row r="36" spans="1:18" ht="15.75" thickBot="1" x14ac:dyDescent="0.3">
      <c r="A36" s="61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3"/>
    </row>
  </sheetData>
  <mergeCells count="24">
    <mergeCell ref="B23:Q23"/>
    <mergeCell ref="B27:Q27"/>
    <mergeCell ref="B31:Q31"/>
    <mergeCell ref="B32:Q32"/>
    <mergeCell ref="B34:Q34"/>
    <mergeCell ref="B35:Q35"/>
    <mergeCell ref="B13:Q13"/>
    <mergeCell ref="B16:Q16"/>
    <mergeCell ref="B17:Q17"/>
    <mergeCell ref="B18:Q18"/>
    <mergeCell ref="B19:Q19"/>
    <mergeCell ref="B21:Q21"/>
    <mergeCell ref="B7:Q7"/>
    <mergeCell ref="B8:Q8"/>
    <mergeCell ref="B9:Q9"/>
    <mergeCell ref="B10:Q10"/>
    <mergeCell ref="B11:Q11"/>
    <mergeCell ref="B12:Q12"/>
    <mergeCell ref="B1:Q1"/>
    <mergeCell ref="B2:Q2"/>
    <mergeCell ref="B3:Q3"/>
    <mergeCell ref="B4:Q4"/>
    <mergeCell ref="B5:Q5"/>
    <mergeCell ref="B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Ques1</vt:lpstr>
      <vt:lpstr>Ques2</vt:lpstr>
      <vt:lpstr>Ques3</vt:lpstr>
      <vt:lpstr>Ques4</vt:lpstr>
      <vt:lpstr>Sheet5</vt:lpstr>
      <vt:lpstr>Ques6</vt:lpstr>
      <vt:lpstr>Ques7</vt:lpstr>
      <vt:lpstr>Ques.8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Mishra</dc:creator>
  <cp:lastModifiedBy>Sumit Mishra</cp:lastModifiedBy>
  <dcterms:created xsi:type="dcterms:W3CDTF">2026-01-03T02:34:52Z</dcterms:created>
  <dcterms:modified xsi:type="dcterms:W3CDTF">2026-01-03T08:30:42Z</dcterms:modified>
</cp:coreProperties>
</file>